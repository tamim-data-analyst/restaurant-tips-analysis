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 Data" sheetId="1" state="visible" r:id="rId3"/>
    <sheet name="Encoded Data" sheetId="2" state="visible" r:id="rId4"/>
    <sheet name="Pivot - Tips by Sex" sheetId="3" state="visible" r:id="rId5"/>
    <sheet name="Pivot - Tips by Sex &amp; Time" sheetId="4" state="visible" r:id="rId6"/>
    <sheet name="Correlation" sheetId="5" state="visible" r:id="rId7"/>
    <sheet name="Regression Analysis" sheetId="6" state="visible" r:id="rId8"/>
    <sheet name="Predicted vs Actu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<sst xmlns="http://schemas.openxmlformats.org/spreadsheetml/2006/main" count="1094" uniqueCount="86">
  <si>
    <t xml:space="preserve">Restaurant Tips Dataset – Cleaned Data</t>
  </si>
  <si>
    <t xml:space="preserve">SEX</t>
  </si>
  <si>
    <t xml:space="preserve">SMOKER</t>
  </si>
  <si>
    <t xml:space="preserve">DAY</t>
  </si>
  <si>
    <t xml:space="preserve">TIME</t>
  </si>
  <si>
    <t xml:space="preserve">SIZE</t>
  </si>
  <si>
    <t xml:space="preserve">TOTAL_BILL</t>
  </si>
  <si>
    <t xml:space="preserve">TIP</t>
  </si>
  <si>
    <t xml:space="preserve">Female</t>
  </si>
  <si>
    <t xml:space="preserve">No</t>
  </si>
  <si>
    <t xml:space="preserve">Sun</t>
  </si>
  <si>
    <t xml:space="preserve">Dinner</t>
  </si>
  <si>
    <t xml:space="preserve">Male</t>
  </si>
  <si>
    <t xml:space="preserve">Sat</t>
  </si>
  <si>
    <t xml:space="preserve">Yes</t>
  </si>
  <si>
    <t xml:space="preserve">Thur</t>
  </si>
  <si>
    <t xml:space="preserve">Lunch</t>
  </si>
  <si>
    <t xml:space="preserve">Fri</t>
  </si>
  <si>
    <t xml:space="preserve">Encoded Data – Categorical Variables Converted to Numeric (IF Formulas)</t>
  </si>
  <si>
    <t xml:space="preserve">SEX_ENC</t>
  </si>
  <si>
    <t xml:space="preserve">SMOKER_ENC</t>
  </si>
  <si>
    <t xml:space="preserve">DAY_ENC</t>
  </si>
  <si>
    <t xml:space="preserve">TIME_ENC</t>
  </si>
  <si>
    <t xml:space="preserve">Legend: sex</t>
  </si>
  <si>
    <t xml:space="preserve">Legend: smoker</t>
  </si>
  <si>
    <t xml:space="preserve">Legend: day</t>
  </si>
  <si>
    <t xml:space="preserve">Legend: time</t>
  </si>
  <si>
    <t xml:space="preserve">sex</t>
  </si>
  <si>
    <t xml:space="preserve">Female=0, Male=1</t>
  </si>
  <si>
    <t xml:space="preserve">smoker</t>
  </si>
  <si>
    <t xml:space="preserve">No=0, Yes=1</t>
  </si>
  <si>
    <t xml:space="preserve">day</t>
  </si>
  <si>
    <t xml:space="preserve">Thur=1, Fri=2, Sat=3, Sun=4</t>
  </si>
  <si>
    <t xml:space="preserve">time</t>
  </si>
  <si>
    <t xml:space="preserve">Lunch=0, Dinner=1</t>
  </si>
  <si>
    <t xml:space="preserve">Pivot Table – Total Tips by Gender</t>
  </si>
  <si>
    <t xml:space="preserve">Gender</t>
  </si>
  <si>
    <t xml:space="preserve">Sum of Tips</t>
  </si>
  <si>
    <t xml:space="preserve">% of Total</t>
  </si>
  <si>
    <t xml:space="preserve">Grand Total</t>
  </si>
  <si>
    <t xml:space="preserve">Pivot Table – Total Tips by Gender and Time</t>
  </si>
  <si>
    <t xml:space="preserve">Time</t>
  </si>
  <si>
    <t xml:space="preserve">Correlation Matrix – Tip vs Independent Variables</t>
  </si>
  <si>
    <t xml:space="preserve">Variable</t>
  </si>
  <si>
    <t xml:space="preserve">tip</t>
  </si>
  <si>
    <t xml:space="preserve">total_bill</t>
  </si>
  <si>
    <t xml:space="preserve">size</t>
  </si>
  <si>
    <t xml:space="preserve">sex_enc</t>
  </si>
  <si>
    <t xml:space="preserve">smoker_enc</t>
  </si>
  <si>
    <t xml:space="preserve">day_enc</t>
  </si>
  <si>
    <t xml:space="preserve">time_enc</t>
  </si>
  <si>
    <t xml:space="preserve">Tip Correlation Summary (correlation of each variable with TIP)</t>
  </si>
  <si>
    <t xml:space="preserve">Correlation with Tip</t>
  </si>
  <si>
    <t xml:space="preserve">Strength</t>
  </si>
  <si>
    <t xml:space="preserve">Direction</t>
  </si>
  <si>
    <t xml:space="preserve">Strong</t>
  </si>
  <si>
    <t xml:space="preserve">Positive</t>
  </si>
  <si>
    <t xml:space="preserve">Moderate</t>
  </si>
  <si>
    <t xml:space="preserve">Weak</t>
  </si>
  <si>
    <t xml:space="preserve">Multiple Regression Analysis – Dependent Variable: TIP</t>
  </si>
  <si>
    <t xml:space="preserve">REGRESSION STATISTICS</t>
  </si>
  <si>
    <t xml:space="preserve">Observations</t>
  </si>
  <si>
    <t xml:space="preserve">Variables</t>
  </si>
  <si>
    <t xml:space="preserve">R²</t>
  </si>
  <si>
    <t xml:space="preserve">Adjusted R²</t>
  </si>
  <si>
    <t xml:space="preserve">RMSE</t>
  </si>
  <si>
    <t xml:space="preserve">Coefficients</t>
  </si>
  <si>
    <t xml:space="preserve">Coefficient</t>
  </si>
  <si>
    <t xml:space="preserve">Std Error</t>
  </si>
  <si>
    <t xml:space="preserve">t-Stat</t>
  </si>
  <si>
    <t xml:space="preserve">Interpretation</t>
  </si>
  <si>
    <t xml:space="preserve">Intercept</t>
  </si>
  <si>
    <t xml:space="preserve">Base tip when all variables are 0</t>
  </si>
  <si>
    <t xml:space="preserve">For each $1 increase in bill, tip increases</t>
  </si>
  <si>
    <t xml:space="preserve">For each additional person, tip changes by this amount</t>
  </si>
  <si>
    <t xml:space="preserve">Male vs Female impact on tip (Male=1)</t>
  </si>
  <si>
    <t xml:space="preserve">Smoker vs Non-smoker impact on tip (Smoker=1)</t>
  </si>
  <si>
    <t xml:space="preserve">Day of week effect (Thur=1→Sun=4)</t>
  </si>
  <si>
    <t xml:space="preserve">Dinner vs Lunch effect on tip (Dinner=1)</t>
  </si>
  <si>
    <t xml:space="preserve">REGRESSION EQUATION</t>
  </si>
  <si>
    <t xml:space="preserve">tip = 0.6751 + 0.0943×total_bill + 0.1750×size - 0.0366×sex_enc - 0.0728×smoker_enc + 0.0530×day_enc - 0.1160×time_enc</t>
  </si>
  <si>
    <t xml:space="preserve">Regression Predictions – Predicted Tip vs Actual Tip</t>
  </si>
  <si>
    <t xml:space="preserve">#</t>
  </si>
  <si>
    <t xml:space="preserve">Actual Tip</t>
  </si>
  <si>
    <t xml:space="preserve">Predicted Tip</t>
  </si>
  <si>
    <t xml:space="preserve">Residual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</si>
</sst>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0.0000"/>
    <numFmt numFmtId="168" formatCode="0.00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FFFFFF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0"/>
      <color rgb="FF1F4E79"/>
      <name val="Courier New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BDD7EE"/>
        <bgColor rgb="FFD9D9D9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DEEAF1"/>
        <bgColor rgb="FFD9D9D9"/>
      </patternFill>
    </fill>
    <fill>
      <patternFill patternType="solid">
        <fgColor rgb="FF2E75B6"/>
        <bgColor rgb="FF4472C4"/>
      </patternFill>
    </fill>
    <fill>
      <patternFill patternType="solid">
        <fgColor rgb="FFC6EFCE"/>
        <bgColor rgb="FFDEEAF1"/>
      </patternFill>
    </fill>
    <fill>
      <patternFill patternType="solid">
        <fgColor rgb="FFFFEB9C"/>
        <bgColor rgb="FFD9D9D9"/>
      </patternFill>
    </fill>
    <fill>
      <patternFill patternType="solid">
        <fgColor rgb="FFFFC7CE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4E79"/>
      </left>
      <right style="medium">
        <color rgb="FF1F4E79"/>
      </right>
      <top style="medium">
        <color rgb="FF1F4E79"/>
      </top>
      <bottom style="medium">
        <color rgb="FF1F4E79"/>
      </bottom>
      <diagonal/>
    </border>
    <border diagonalUp="false" diagonalDown="false"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1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0504D"/>
      <rgbColor rgb="FFF9F9F9"/>
      <rgbColor rgb="FFDEEAF1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Tips Distribution by Gender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'Pivot - Tips by Sex'!B2</c:f>
              <c:strCache>
                <c:ptCount val="1"/>
                <c:pt idx="0">
                  <c:v>Sum of Tips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'Pivot - Tips by Sex'!$A$3:$A$4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- Tips by Sex'!$B$3:$B$4</c:f>
              <c:numCache>
                <c:formatCode>#,##0.00</c:formatCode>
                <c:ptCount val="2"/>
                <c:pt idx="0">
                  <c:v>244.51</c:v>
                </c:pt>
                <c:pt idx="1">
                  <c:v>485.07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Tips by Gender and Time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'Pivot - Tips by Sex &amp; Time'!B2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Tips by Sex &amp; Time'!$A$3:$A$4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'Pivot - Tips by Sex &amp; Time'!$B$3:$B$4</c:f>
              <c:numCache>
                <c:formatCode>#,##0.00</c:formatCode>
                <c:ptCount val="2"/>
                <c:pt idx="0">
                  <c:v>156.11</c:v>
                </c:pt>
                <c:pt idx="1">
                  <c:v>88.4</c:v>
                </c:pt>
              </c:numCache>
            </c:numRef>
          </c:val>
        </c:ser>
        <c:ser>
          <c:idx val="1"/>
          <c:order val="1"/>
          <c:tx>
            <c:strRef>
              <c:f>'Pivot - Tips by Sex &amp; Time'!C2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'Pivot - Tips by Sex &amp; Time'!$A$3:$A$4</c:f>
              <c:strCache>
                <c:ptCount val="2"/>
                <c:pt idx="0">
                  <c:v>Dinner</c:v>
                </c:pt>
                <c:pt idx="1">
                  <c:v>Lunch</c:v>
                </c:pt>
              </c:strCache>
            </c:strRef>
          </c:cat>
          <c:val>
            <c:numRef>
              <c:f>'Pivot - Tips by Sex &amp; Time'!$C$3:$C$4</c:f>
              <c:numCache>
                <c:formatCode>#,##0.00</c:formatCode>
                <c:ptCount val="2"/>
                <c:pt idx="0">
                  <c:v>389.96</c:v>
                </c:pt>
                <c:pt idx="1">
                  <c:v>95.11</c:v>
                </c:pt>
              </c:numCache>
            </c:numRef>
          </c:val>
        </c:ser>
        <c:gapWidth val="150"/>
        <c:overlap val="0"/>
        <c:axId val="30454547"/>
        <c:axId val="91928648"/>
      </c:barChart>
      <c:catAx>
        <c:axId val="3045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Time of Day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28648"/>
        <c:crosses val="autoZero"/>
        <c:auto val="1"/>
        <c:lblAlgn val="ctr"/>
        <c:lblOffset val="100"/>
        <c:noMultiLvlLbl val="0"/>
      </c:catAx>
      <c:valAx>
        <c:axId val="9192864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Sum of Tips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45454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</xdr:row>
      <xdr:rowOff>0</xdr:rowOff>
    </xdr:from>
    <xdr:to>
      <xdr:col>12</xdr:col>
      <xdr:colOff>147600</xdr:colOff>
      <xdr:row>19</xdr:row>
      <xdr:rowOff>170640</xdr:rowOff>
    </xdr:to>
    <xdr:graphicFrame>
      <xdr:nvGraphicFramePr>
        <xdr:cNvPr id="0" name="Chart 1"/>
        <xdr:cNvGraphicFramePr/>
      </xdr:nvGraphicFramePr>
      <xdr:xfrm>
        <a:off x="3430800" y="35244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1</xdr:row>
      <xdr:rowOff>0</xdr:rowOff>
    </xdr:from>
    <xdr:to>
      <xdr:col>14</xdr:col>
      <xdr:colOff>255960</xdr:colOff>
      <xdr:row>19</xdr:row>
      <xdr:rowOff>170640</xdr:rowOff>
    </xdr:to>
    <xdr:graphicFrame>
      <xdr:nvGraphicFramePr>
        <xdr:cNvPr id="1" name="Chart 1"/>
        <xdr:cNvGraphicFramePr/>
      </xdr:nvGraphicFramePr>
      <xdr:xfrm>
        <a:off x="4417560" y="352440"/>
        <a:ext cx="575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10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customFormat="false" ht="15" hidden="false" customHeight="false" outlineLevel="0" collapsed="false">
      <c r="A3" s="3" t="s">
        <v>8</v>
      </c>
      <c r="B3" s="3" t="s">
        <v>9</v>
      </c>
      <c r="C3" s="3" t="s">
        <v>10</v>
      </c>
      <c r="D3" s="3" t="s">
        <v>11</v>
      </c>
      <c r="E3" s="3" t="n">
        <v>2</v>
      </c>
      <c r="F3" s="3" t="n">
        <v>16.99</v>
      </c>
      <c r="G3" s="3" t="n">
        <v>1.01</v>
      </c>
    </row>
    <row r="4" customFormat="false" ht="15" hidden="false" customHeight="false" outlineLevel="0" collapsed="false">
      <c r="A4" s="4" t="s">
        <v>12</v>
      </c>
      <c r="B4" s="4" t="s">
        <v>9</v>
      </c>
      <c r="C4" s="4" t="s">
        <v>10</v>
      </c>
      <c r="D4" s="4" t="s">
        <v>11</v>
      </c>
      <c r="E4" s="4" t="n">
        <v>3</v>
      </c>
      <c r="F4" s="4" t="n">
        <v>10.34</v>
      </c>
      <c r="G4" s="4" t="n">
        <v>1.66</v>
      </c>
    </row>
    <row r="5" customFormat="false" ht="15" hidden="false" customHeight="false" outlineLevel="0" collapsed="false">
      <c r="A5" s="3" t="s">
        <v>12</v>
      </c>
      <c r="B5" s="3" t="s">
        <v>9</v>
      </c>
      <c r="C5" s="3" t="s">
        <v>10</v>
      </c>
      <c r="D5" s="3" t="s">
        <v>11</v>
      </c>
      <c r="E5" s="3" t="n">
        <v>3</v>
      </c>
      <c r="F5" s="3" t="n">
        <v>21.01</v>
      </c>
      <c r="G5" s="3" t="n">
        <v>3.5</v>
      </c>
    </row>
    <row r="6" customFormat="false" ht="15" hidden="false" customHeight="false" outlineLevel="0" collapsed="false">
      <c r="A6" s="4" t="s">
        <v>12</v>
      </c>
      <c r="B6" s="4" t="s">
        <v>9</v>
      </c>
      <c r="C6" s="4" t="s">
        <v>10</v>
      </c>
      <c r="D6" s="4" t="s">
        <v>11</v>
      </c>
      <c r="E6" s="4" t="n">
        <v>2</v>
      </c>
      <c r="F6" s="4" t="n">
        <v>23.68</v>
      </c>
      <c r="G6" s="4" t="n">
        <v>3.31</v>
      </c>
    </row>
    <row r="7" customFormat="false" ht="15" hidden="false" customHeight="false" outlineLevel="0" collapsed="false">
      <c r="A7" s="3" t="s">
        <v>8</v>
      </c>
      <c r="B7" s="3" t="s">
        <v>9</v>
      </c>
      <c r="C7" s="3" t="s">
        <v>10</v>
      </c>
      <c r="D7" s="3" t="s">
        <v>11</v>
      </c>
      <c r="E7" s="3" t="n">
        <v>4</v>
      </c>
      <c r="F7" s="3" t="n">
        <v>24.59</v>
      </c>
      <c r="G7" s="3" t="n">
        <v>3.61</v>
      </c>
    </row>
    <row r="8" customFormat="false" ht="15" hidden="false" customHeight="false" outlineLevel="0" collapsed="false">
      <c r="A8" s="4" t="s">
        <v>12</v>
      </c>
      <c r="B8" s="4" t="s">
        <v>9</v>
      </c>
      <c r="C8" s="4" t="s">
        <v>10</v>
      </c>
      <c r="D8" s="4" t="s">
        <v>11</v>
      </c>
      <c r="E8" s="4" t="n">
        <v>4</v>
      </c>
      <c r="F8" s="4" t="n">
        <v>25.29</v>
      </c>
      <c r="G8" s="4" t="n">
        <v>4.71</v>
      </c>
    </row>
    <row r="9" customFormat="false" ht="15" hidden="false" customHeight="false" outlineLevel="0" collapsed="false">
      <c r="A9" s="3" t="s">
        <v>12</v>
      </c>
      <c r="B9" s="3" t="s">
        <v>9</v>
      </c>
      <c r="C9" s="3" t="s">
        <v>10</v>
      </c>
      <c r="D9" s="3" t="s">
        <v>11</v>
      </c>
      <c r="E9" s="3" t="n">
        <v>2</v>
      </c>
      <c r="F9" s="3" t="n">
        <v>8.77</v>
      </c>
      <c r="G9" s="3" t="n">
        <v>2</v>
      </c>
    </row>
    <row r="10" customFormat="false" ht="15" hidden="false" customHeight="false" outlineLevel="0" collapsed="false">
      <c r="A10" s="4" t="s">
        <v>12</v>
      </c>
      <c r="B10" s="4" t="s">
        <v>9</v>
      </c>
      <c r="C10" s="4" t="s">
        <v>10</v>
      </c>
      <c r="D10" s="4" t="s">
        <v>11</v>
      </c>
      <c r="E10" s="4" t="n">
        <v>4</v>
      </c>
      <c r="F10" s="4" t="n">
        <v>26.88</v>
      </c>
      <c r="G10" s="4" t="n">
        <v>3.12</v>
      </c>
    </row>
    <row r="11" customFormat="false" ht="15" hidden="false" customHeight="false" outlineLevel="0" collapsed="false">
      <c r="A11" s="3" t="s">
        <v>12</v>
      </c>
      <c r="B11" s="3" t="s">
        <v>9</v>
      </c>
      <c r="C11" s="3" t="s">
        <v>10</v>
      </c>
      <c r="D11" s="3" t="s">
        <v>11</v>
      </c>
      <c r="E11" s="3" t="n">
        <v>2</v>
      </c>
      <c r="F11" s="3" t="n">
        <v>15.04</v>
      </c>
      <c r="G11" s="3" t="n">
        <v>1.96</v>
      </c>
    </row>
    <row r="12" customFormat="false" ht="15" hidden="false" customHeight="false" outlineLevel="0" collapsed="false">
      <c r="A12" s="4" t="s">
        <v>12</v>
      </c>
      <c r="B12" s="4" t="s">
        <v>9</v>
      </c>
      <c r="C12" s="4" t="s">
        <v>10</v>
      </c>
      <c r="D12" s="4" t="s">
        <v>11</v>
      </c>
      <c r="E12" s="4" t="n">
        <v>2</v>
      </c>
      <c r="F12" s="4" t="n">
        <v>14.78</v>
      </c>
      <c r="G12" s="4" t="n">
        <v>3.23</v>
      </c>
    </row>
    <row r="13" customFormat="false" ht="15" hidden="false" customHeight="false" outlineLevel="0" collapsed="false">
      <c r="A13" s="3" t="s">
        <v>12</v>
      </c>
      <c r="B13" s="3" t="s">
        <v>9</v>
      </c>
      <c r="C13" s="3" t="s">
        <v>10</v>
      </c>
      <c r="D13" s="3" t="s">
        <v>11</v>
      </c>
      <c r="E13" s="3" t="n">
        <v>2</v>
      </c>
      <c r="F13" s="3" t="n">
        <v>10.27</v>
      </c>
      <c r="G13" s="3" t="n">
        <v>1.71</v>
      </c>
    </row>
    <row r="14" customFormat="false" ht="15" hidden="false" customHeight="false" outlineLevel="0" collapsed="false">
      <c r="A14" s="4" t="s">
        <v>8</v>
      </c>
      <c r="B14" s="4" t="s">
        <v>9</v>
      </c>
      <c r="C14" s="4" t="s">
        <v>10</v>
      </c>
      <c r="D14" s="4" t="s">
        <v>11</v>
      </c>
      <c r="E14" s="4" t="n">
        <v>4</v>
      </c>
      <c r="F14" s="4" t="n">
        <v>35.26</v>
      </c>
      <c r="G14" s="4" t="n">
        <v>5</v>
      </c>
    </row>
    <row r="15" customFormat="false" ht="15" hidden="false" customHeight="false" outlineLevel="0" collapsed="false">
      <c r="A15" s="3" t="s">
        <v>12</v>
      </c>
      <c r="B15" s="3" t="s">
        <v>9</v>
      </c>
      <c r="C15" s="3" t="s">
        <v>10</v>
      </c>
      <c r="D15" s="3" t="s">
        <v>11</v>
      </c>
      <c r="E15" s="3" t="n">
        <v>2</v>
      </c>
      <c r="F15" s="3" t="n">
        <v>15.42</v>
      </c>
      <c r="G15" s="3" t="n">
        <v>1.57</v>
      </c>
    </row>
    <row r="16" customFormat="false" ht="15" hidden="false" customHeight="false" outlineLevel="0" collapsed="false">
      <c r="A16" s="4" t="s">
        <v>12</v>
      </c>
      <c r="B16" s="4" t="s">
        <v>9</v>
      </c>
      <c r="C16" s="4" t="s">
        <v>10</v>
      </c>
      <c r="D16" s="4" t="s">
        <v>11</v>
      </c>
      <c r="E16" s="4" t="n">
        <v>4</v>
      </c>
      <c r="F16" s="4" t="n">
        <v>18.43</v>
      </c>
      <c r="G16" s="4" t="n">
        <v>3</v>
      </c>
    </row>
    <row r="17" customFormat="false" ht="15" hidden="false" customHeight="false" outlineLevel="0" collapsed="false">
      <c r="A17" s="3" t="s">
        <v>8</v>
      </c>
      <c r="B17" s="3" t="s">
        <v>9</v>
      </c>
      <c r="C17" s="3" t="s">
        <v>10</v>
      </c>
      <c r="D17" s="3" t="s">
        <v>11</v>
      </c>
      <c r="E17" s="3" t="n">
        <v>2</v>
      </c>
      <c r="F17" s="3" t="n">
        <v>14.83</v>
      </c>
      <c r="G17" s="3" t="n">
        <v>3.02</v>
      </c>
    </row>
    <row r="18" customFormat="false" ht="15" hidden="false" customHeight="false" outlineLevel="0" collapsed="false">
      <c r="A18" s="4" t="s">
        <v>12</v>
      </c>
      <c r="B18" s="4" t="s">
        <v>9</v>
      </c>
      <c r="C18" s="4" t="s">
        <v>10</v>
      </c>
      <c r="D18" s="4" t="s">
        <v>11</v>
      </c>
      <c r="E18" s="4" t="n">
        <v>2</v>
      </c>
      <c r="F18" s="4" t="n">
        <v>21.58</v>
      </c>
      <c r="G18" s="4" t="n">
        <v>3.92</v>
      </c>
    </row>
    <row r="19" customFormat="false" ht="15" hidden="false" customHeight="false" outlineLevel="0" collapsed="false">
      <c r="A19" s="3" t="s">
        <v>8</v>
      </c>
      <c r="B19" s="3" t="s">
        <v>9</v>
      </c>
      <c r="C19" s="3" t="s">
        <v>10</v>
      </c>
      <c r="D19" s="3" t="s">
        <v>11</v>
      </c>
      <c r="E19" s="3" t="n">
        <v>3</v>
      </c>
      <c r="F19" s="3" t="n">
        <v>10.33</v>
      </c>
      <c r="G19" s="3" t="n">
        <v>1.67</v>
      </c>
    </row>
    <row r="20" customFormat="false" ht="15" hidden="false" customHeight="false" outlineLevel="0" collapsed="false">
      <c r="A20" s="4" t="s">
        <v>12</v>
      </c>
      <c r="B20" s="4" t="s">
        <v>9</v>
      </c>
      <c r="C20" s="4" t="s">
        <v>10</v>
      </c>
      <c r="D20" s="4" t="s">
        <v>11</v>
      </c>
      <c r="E20" s="4" t="n">
        <v>3</v>
      </c>
      <c r="F20" s="4" t="n">
        <v>16.29</v>
      </c>
      <c r="G20" s="4" t="n">
        <v>3.71</v>
      </c>
    </row>
    <row r="21" customFormat="false" ht="15" hidden="false" customHeight="false" outlineLevel="0" collapsed="false">
      <c r="A21" s="3" t="s">
        <v>8</v>
      </c>
      <c r="B21" s="3" t="s">
        <v>9</v>
      </c>
      <c r="C21" s="3" t="s">
        <v>10</v>
      </c>
      <c r="D21" s="3" t="s">
        <v>11</v>
      </c>
      <c r="E21" s="3" t="n">
        <v>3</v>
      </c>
      <c r="F21" s="3" t="n">
        <v>16.97</v>
      </c>
      <c r="G21" s="3" t="n">
        <v>3.5</v>
      </c>
    </row>
    <row r="22" customFormat="false" ht="15" hidden="false" customHeight="false" outlineLevel="0" collapsed="false">
      <c r="A22" s="4" t="s">
        <v>12</v>
      </c>
      <c r="B22" s="4" t="s">
        <v>9</v>
      </c>
      <c r="C22" s="4" t="s">
        <v>13</v>
      </c>
      <c r="D22" s="4" t="s">
        <v>11</v>
      </c>
      <c r="E22" s="4" t="n">
        <v>3</v>
      </c>
      <c r="F22" s="4" t="n">
        <v>20.65</v>
      </c>
      <c r="G22" s="4" t="n">
        <v>3.35</v>
      </c>
    </row>
    <row r="23" customFormat="false" ht="15" hidden="false" customHeight="false" outlineLevel="0" collapsed="false">
      <c r="A23" s="3" t="s">
        <v>12</v>
      </c>
      <c r="B23" s="3" t="s">
        <v>9</v>
      </c>
      <c r="C23" s="3" t="s">
        <v>13</v>
      </c>
      <c r="D23" s="3" t="s">
        <v>11</v>
      </c>
      <c r="E23" s="3" t="n">
        <v>2</v>
      </c>
      <c r="F23" s="3" t="n">
        <v>17.92</v>
      </c>
      <c r="G23" s="3" t="n">
        <v>4.08</v>
      </c>
    </row>
    <row r="24" customFormat="false" ht="15" hidden="false" customHeight="false" outlineLevel="0" collapsed="false">
      <c r="A24" s="4" t="s">
        <v>8</v>
      </c>
      <c r="B24" s="4" t="s">
        <v>9</v>
      </c>
      <c r="C24" s="4" t="s">
        <v>13</v>
      </c>
      <c r="D24" s="4" t="s">
        <v>11</v>
      </c>
      <c r="E24" s="4" t="n">
        <v>2</v>
      </c>
      <c r="F24" s="4" t="n">
        <v>20.29</v>
      </c>
      <c r="G24" s="4" t="n">
        <v>2.75</v>
      </c>
    </row>
    <row r="25" customFormat="false" ht="15" hidden="false" customHeight="false" outlineLevel="0" collapsed="false">
      <c r="A25" s="3" t="s">
        <v>8</v>
      </c>
      <c r="B25" s="3" t="s">
        <v>9</v>
      </c>
      <c r="C25" s="3" t="s">
        <v>13</v>
      </c>
      <c r="D25" s="3" t="s">
        <v>11</v>
      </c>
      <c r="E25" s="3" t="n">
        <v>2</v>
      </c>
      <c r="F25" s="3" t="n">
        <v>15.77</v>
      </c>
      <c r="G25" s="3" t="n">
        <v>2.23</v>
      </c>
    </row>
    <row r="26" customFormat="false" ht="15" hidden="false" customHeight="false" outlineLevel="0" collapsed="false">
      <c r="A26" s="4" t="s">
        <v>12</v>
      </c>
      <c r="B26" s="4" t="s">
        <v>9</v>
      </c>
      <c r="C26" s="4" t="s">
        <v>13</v>
      </c>
      <c r="D26" s="4" t="s">
        <v>11</v>
      </c>
      <c r="E26" s="4" t="n">
        <v>4</v>
      </c>
      <c r="F26" s="4" t="n">
        <v>39.42</v>
      </c>
      <c r="G26" s="4" t="n">
        <v>7.58</v>
      </c>
    </row>
    <row r="27" customFormat="false" ht="15" hidden="false" customHeight="false" outlineLevel="0" collapsed="false">
      <c r="A27" s="3" t="s">
        <v>12</v>
      </c>
      <c r="B27" s="3" t="s">
        <v>9</v>
      </c>
      <c r="C27" s="3" t="s">
        <v>13</v>
      </c>
      <c r="D27" s="3" t="s">
        <v>11</v>
      </c>
      <c r="E27" s="3" t="n">
        <v>2</v>
      </c>
      <c r="F27" s="3" t="n">
        <v>19.82</v>
      </c>
      <c r="G27" s="3" t="n">
        <v>3.18</v>
      </c>
    </row>
    <row r="28" customFormat="false" ht="15" hidden="false" customHeight="false" outlineLevel="0" collapsed="false">
      <c r="A28" s="4" t="s">
        <v>12</v>
      </c>
      <c r="B28" s="4" t="s">
        <v>9</v>
      </c>
      <c r="C28" s="4" t="s">
        <v>13</v>
      </c>
      <c r="D28" s="4" t="s">
        <v>11</v>
      </c>
      <c r="E28" s="4" t="n">
        <v>4</v>
      </c>
      <c r="F28" s="4" t="n">
        <v>17.81</v>
      </c>
      <c r="G28" s="4" t="n">
        <v>2.34</v>
      </c>
    </row>
    <row r="29" customFormat="false" ht="15" hidden="false" customHeight="false" outlineLevel="0" collapsed="false">
      <c r="A29" s="3" t="s">
        <v>12</v>
      </c>
      <c r="B29" s="3" t="s">
        <v>9</v>
      </c>
      <c r="C29" s="3" t="s">
        <v>13</v>
      </c>
      <c r="D29" s="3" t="s">
        <v>11</v>
      </c>
      <c r="E29" s="3" t="n">
        <v>2</v>
      </c>
      <c r="F29" s="3" t="n">
        <v>13.37</v>
      </c>
      <c r="G29" s="3" t="n">
        <v>2</v>
      </c>
    </row>
    <row r="30" customFormat="false" ht="15" hidden="false" customHeight="false" outlineLevel="0" collapsed="false">
      <c r="A30" s="4" t="s">
        <v>12</v>
      </c>
      <c r="B30" s="4" t="s">
        <v>9</v>
      </c>
      <c r="C30" s="4" t="s">
        <v>13</v>
      </c>
      <c r="D30" s="4" t="s">
        <v>11</v>
      </c>
      <c r="E30" s="4" t="n">
        <v>2</v>
      </c>
      <c r="F30" s="4" t="n">
        <v>12.69</v>
      </c>
      <c r="G30" s="4" t="n">
        <v>2</v>
      </c>
    </row>
    <row r="31" customFormat="false" ht="15" hidden="false" customHeight="false" outlineLevel="0" collapsed="false">
      <c r="A31" s="3" t="s">
        <v>12</v>
      </c>
      <c r="B31" s="3" t="s">
        <v>9</v>
      </c>
      <c r="C31" s="3" t="s">
        <v>13</v>
      </c>
      <c r="D31" s="3" t="s">
        <v>11</v>
      </c>
      <c r="E31" s="3" t="n">
        <v>2</v>
      </c>
      <c r="F31" s="3" t="n">
        <v>21.7</v>
      </c>
      <c r="G31" s="3" t="n">
        <v>4.3</v>
      </c>
    </row>
    <row r="32" customFormat="false" ht="15" hidden="false" customHeight="false" outlineLevel="0" collapsed="false">
      <c r="A32" s="4" t="s">
        <v>8</v>
      </c>
      <c r="B32" s="4" t="s">
        <v>9</v>
      </c>
      <c r="C32" s="4" t="s">
        <v>13</v>
      </c>
      <c r="D32" s="4" t="s">
        <v>11</v>
      </c>
      <c r="E32" s="4" t="n">
        <v>2</v>
      </c>
      <c r="F32" s="4" t="n">
        <v>19.65</v>
      </c>
      <c r="G32" s="4" t="n">
        <v>3</v>
      </c>
    </row>
    <row r="33" customFormat="false" ht="15" hidden="false" customHeight="false" outlineLevel="0" collapsed="false">
      <c r="A33" s="3" t="s">
        <v>12</v>
      </c>
      <c r="B33" s="3" t="s">
        <v>9</v>
      </c>
      <c r="C33" s="3" t="s">
        <v>13</v>
      </c>
      <c r="D33" s="3" t="s">
        <v>11</v>
      </c>
      <c r="E33" s="3" t="n">
        <v>2</v>
      </c>
      <c r="F33" s="3" t="n">
        <v>9.55</v>
      </c>
      <c r="G33" s="3" t="n">
        <v>1.45</v>
      </c>
    </row>
    <row r="34" customFormat="false" ht="15" hidden="false" customHeight="false" outlineLevel="0" collapsed="false">
      <c r="A34" s="4" t="s">
        <v>12</v>
      </c>
      <c r="B34" s="4" t="s">
        <v>9</v>
      </c>
      <c r="C34" s="4" t="s">
        <v>13</v>
      </c>
      <c r="D34" s="4" t="s">
        <v>11</v>
      </c>
      <c r="E34" s="4" t="n">
        <v>4</v>
      </c>
      <c r="F34" s="4" t="n">
        <v>18.35</v>
      </c>
      <c r="G34" s="4" t="n">
        <v>2.5</v>
      </c>
    </row>
    <row r="35" customFormat="false" ht="15" hidden="false" customHeight="false" outlineLevel="0" collapsed="false">
      <c r="A35" s="3" t="s">
        <v>8</v>
      </c>
      <c r="B35" s="3" t="s">
        <v>9</v>
      </c>
      <c r="C35" s="3" t="s">
        <v>13</v>
      </c>
      <c r="D35" s="3" t="s">
        <v>11</v>
      </c>
      <c r="E35" s="3" t="n">
        <v>2</v>
      </c>
      <c r="F35" s="3" t="n">
        <v>15.06</v>
      </c>
      <c r="G35" s="3" t="n">
        <v>3</v>
      </c>
    </row>
    <row r="36" customFormat="false" ht="15" hidden="false" customHeight="false" outlineLevel="0" collapsed="false">
      <c r="A36" s="4" t="s">
        <v>8</v>
      </c>
      <c r="B36" s="4" t="s">
        <v>9</v>
      </c>
      <c r="C36" s="4" t="s">
        <v>13</v>
      </c>
      <c r="D36" s="4" t="s">
        <v>11</v>
      </c>
      <c r="E36" s="4" t="n">
        <v>4</v>
      </c>
      <c r="F36" s="4" t="n">
        <v>20.69</v>
      </c>
      <c r="G36" s="4" t="n">
        <v>2.45</v>
      </c>
    </row>
    <row r="37" customFormat="false" ht="15" hidden="false" customHeight="false" outlineLevel="0" collapsed="false">
      <c r="A37" s="3" t="s">
        <v>12</v>
      </c>
      <c r="B37" s="3" t="s">
        <v>9</v>
      </c>
      <c r="C37" s="3" t="s">
        <v>13</v>
      </c>
      <c r="D37" s="3" t="s">
        <v>11</v>
      </c>
      <c r="E37" s="3" t="n">
        <v>2</v>
      </c>
      <c r="F37" s="3" t="n">
        <v>17.78</v>
      </c>
      <c r="G37" s="3" t="n">
        <v>3.27</v>
      </c>
    </row>
    <row r="38" customFormat="false" ht="15" hidden="false" customHeight="false" outlineLevel="0" collapsed="false">
      <c r="A38" s="4" t="s">
        <v>12</v>
      </c>
      <c r="B38" s="4" t="s">
        <v>9</v>
      </c>
      <c r="C38" s="4" t="s">
        <v>13</v>
      </c>
      <c r="D38" s="4" t="s">
        <v>11</v>
      </c>
      <c r="E38" s="4" t="n">
        <v>3</v>
      </c>
      <c r="F38" s="4" t="n">
        <v>24.06</v>
      </c>
      <c r="G38" s="4" t="n">
        <v>3.6</v>
      </c>
    </row>
    <row r="39" customFormat="false" ht="15" hidden="false" customHeight="false" outlineLevel="0" collapsed="false">
      <c r="A39" s="3" t="s">
        <v>12</v>
      </c>
      <c r="B39" s="3" t="s">
        <v>9</v>
      </c>
      <c r="C39" s="3" t="s">
        <v>13</v>
      </c>
      <c r="D39" s="3" t="s">
        <v>11</v>
      </c>
      <c r="E39" s="3" t="n">
        <v>3</v>
      </c>
      <c r="F39" s="3" t="n">
        <v>16.31</v>
      </c>
      <c r="G39" s="3" t="n">
        <v>2</v>
      </c>
    </row>
    <row r="40" customFormat="false" ht="15" hidden="false" customHeight="false" outlineLevel="0" collapsed="false">
      <c r="A40" s="4" t="s">
        <v>8</v>
      </c>
      <c r="B40" s="4" t="s">
        <v>9</v>
      </c>
      <c r="C40" s="4" t="s">
        <v>13</v>
      </c>
      <c r="D40" s="4" t="s">
        <v>11</v>
      </c>
      <c r="E40" s="4" t="n">
        <v>3</v>
      </c>
      <c r="F40" s="4" t="n">
        <v>16.93</v>
      </c>
      <c r="G40" s="4" t="n">
        <v>3.07</v>
      </c>
    </row>
    <row r="41" customFormat="false" ht="15" hidden="false" customHeight="false" outlineLevel="0" collapsed="false">
      <c r="A41" s="3" t="s">
        <v>12</v>
      </c>
      <c r="B41" s="3" t="s">
        <v>9</v>
      </c>
      <c r="C41" s="3" t="s">
        <v>13</v>
      </c>
      <c r="D41" s="3" t="s">
        <v>11</v>
      </c>
      <c r="E41" s="3" t="n">
        <v>3</v>
      </c>
      <c r="F41" s="3" t="n">
        <v>18.69</v>
      </c>
      <c r="G41" s="3" t="n">
        <v>2.31</v>
      </c>
    </row>
    <row r="42" customFormat="false" ht="15" hidden="false" customHeight="false" outlineLevel="0" collapsed="false">
      <c r="A42" s="4" t="s">
        <v>12</v>
      </c>
      <c r="B42" s="4" t="s">
        <v>9</v>
      </c>
      <c r="C42" s="4" t="s">
        <v>13</v>
      </c>
      <c r="D42" s="4" t="s">
        <v>11</v>
      </c>
      <c r="E42" s="4" t="n">
        <v>3</v>
      </c>
      <c r="F42" s="4" t="n">
        <v>31.27</v>
      </c>
      <c r="G42" s="4" t="n">
        <v>5</v>
      </c>
    </row>
    <row r="43" customFormat="false" ht="15" hidden="false" customHeight="false" outlineLevel="0" collapsed="false">
      <c r="A43" s="3" t="s">
        <v>12</v>
      </c>
      <c r="B43" s="3" t="s">
        <v>9</v>
      </c>
      <c r="C43" s="3" t="s">
        <v>13</v>
      </c>
      <c r="D43" s="3" t="s">
        <v>11</v>
      </c>
      <c r="E43" s="3" t="n">
        <v>3</v>
      </c>
      <c r="F43" s="3" t="n">
        <v>16.04</v>
      </c>
      <c r="G43" s="3" t="n">
        <v>2.24</v>
      </c>
    </row>
    <row r="44" customFormat="false" ht="15" hidden="false" customHeight="false" outlineLevel="0" collapsed="false">
      <c r="A44" s="4" t="s">
        <v>12</v>
      </c>
      <c r="B44" s="4" t="s">
        <v>9</v>
      </c>
      <c r="C44" s="4" t="s">
        <v>10</v>
      </c>
      <c r="D44" s="4" t="s">
        <v>11</v>
      </c>
      <c r="E44" s="4" t="n">
        <v>2</v>
      </c>
      <c r="F44" s="4" t="n">
        <v>17.46</v>
      </c>
      <c r="G44" s="4" t="n">
        <v>2.54</v>
      </c>
    </row>
    <row r="45" customFormat="false" ht="15" hidden="false" customHeight="false" outlineLevel="0" collapsed="false">
      <c r="A45" s="3" t="s">
        <v>12</v>
      </c>
      <c r="B45" s="3" t="s">
        <v>9</v>
      </c>
      <c r="C45" s="3" t="s">
        <v>10</v>
      </c>
      <c r="D45" s="3" t="s">
        <v>11</v>
      </c>
      <c r="E45" s="3" t="n">
        <v>2</v>
      </c>
      <c r="F45" s="3" t="n">
        <v>13.94</v>
      </c>
      <c r="G45" s="3" t="n">
        <v>3.06</v>
      </c>
    </row>
    <row r="46" customFormat="false" ht="15" hidden="false" customHeight="false" outlineLevel="0" collapsed="false">
      <c r="A46" s="4" t="s">
        <v>12</v>
      </c>
      <c r="B46" s="4" t="s">
        <v>9</v>
      </c>
      <c r="C46" s="4" t="s">
        <v>10</v>
      </c>
      <c r="D46" s="4" t="s">
        <v>11</v>
      </c>
      <c r="E46" s="4" t="n">
        <v>2</v>
      </c>
      <c r="F46" s="4" t="n">
        <v>9.68</v>
      </c>
      <c r="G46" s="4" t="n">
        <v>1.32</v>
      </c>
    </row>
    <row r="47" customFormat="false" ht="15" hidden="false" customHeight="false" outlineLevel="0" collapsed="false">
      <c r="A47" s="3" t="s">
        <v>12</v>
      </c>
      <c r="B47" s="3" t="s">
        <v>9</v>
      </c>
      <c r="C47" s="3" t="s">
        <v>10</v>
      </c>
      <c r="D47" s="3" t="s">
        <v>11</v>
      </c>
      <c r="E47" s="3" t="n">
        <v>4</v>
      </c>
      <c r="F47" s="3" t="n">
        <v>30.4</v>
      </c>
      <c r="G47" s="3" t="n">
        <v>5.6</v>
      </c>
    </row>
    <row r="48" customFormat="false" ht="15" hidden="false" customHeight="false" outlineLevel="0" collapsed="false">
      <c r="A48" s="4" t="s">
        <v>12</v>
      </c>
      <c r="B48" s="4" t="s">
        <v>9</v>
      </c>
      <c r="C48" s="4" t="s">
        <v>10</v>
      </c>
      <c r="D48" s="4" t="s">
        <v>11</v>
      </c>
      <c r="E48" s="4" t="n">
        <v>2</v>
      </c>
      <c r="F48" s="4" t="n">
        <v>18.29</v>
      </c>
      <c r="G48" s="4" t="n">
        <v>3</v>
      </c>
    </row>
    <row r="49" customFormat="false" ht="15" hidden="false" customHeight="false" outlineLevel="0" collapsed="false">
      <c r="A49" s="3" t="s">
        <v>12</v>
      </c>
      <c r="B49" s="3" t="s">
        <v>9</v>
      </c>
      <c r="C49" s="3" t="s">
        <v>10</v>
      </c>
      <c r="D49" s="3" t="s">
        <v>11</v>
      </c>
      <c r="E49" s="3" t="n">
        <v>2</v>
      </c>
      <c r="F49" s="3" t="n">
        <v>22.23</v>
      </c>
      <c r="G49" s="3" t="n">
        <v>5</v>
      </c>
    </row>
    <row r="50" customFormat="false" ht="15" hidden="false" customHeight="false" outlineLevel="0" collapsed="false">
      <c r="A50" s="4" t="s">
        <v>12</v>
      </c>
      <c r="B50" s="4" t="s">
        <v>9</v>
      </c>
      <c r="C50" s="4" t="s">
        <v>10</v>
      </c>
      <c r="D50" s="4" t="s">
        <v>11</v>
      </c>
      <c r="E50" s="4" t="n">
        <v>4</v>
      </c>
      <c r="F50" s="4" t="n">
        <v>32.4</v>
      </c>
      <c r="G50" s="4" t="n">
        <v>6</v>
      </c>
    </row>
    <row r="51" customFormat="false" ht="15" hidden="false" customHeight="false" outlineLevel="0" collapsed="false">
      <c r="A51" s="3" t="s">
        <v>12</v>
      </c>
      <c r="B51" s="3" t="s">
        <v>9</v>
      </c>
      <c r="C51" s="3" t="s">
        <v>10</v>
      </c>
      <c r="D51" s="3" t="s">
        <v>11</v>
      </c>
      <c r="E51" s="3" t="n">
        <v>3</v>
      </c>
      <c r="F51" s="3" t="n">
        <v>28.55</v>
      </c>
      <c r="G51" s="3" t="n">
        <v>2.05</v>
      </c>
    </row>
    <row r="52" customFormat="false" ht="15" hidden="false" customHeight="false" outlineLevel="0" collapsed="false">
      <c r="A52" s="4" t="s">
        <v>12</v>
      </c>
      <c r="B52" s="4" t="s">
        <v>9</v>
      </c>
      <c r="C52" s="4" t="s">
        <v>10</v>
      </c>
      <c r="D52" s="4" t="s">
        <v>11</v>
      </c>
      <c r="E52" s="4" t="n">
        <v>2</v>
      </c>
      <c r="F52" s="4" t="n">
        <v>18.04</v>
      </c>
      <c r="G52" s="4" t="n">
        <v>3</v>
      </c>
    </row>
    <row r="53" customFormat="false" ht="15" hidden="false" customHeight="false" outlineLevel="0" collapsed="false">
      <c r="A53" s="3" t="s">
        <v>12</v>
      </c>
      <c r="B53" s="3" t="s">
        <v>9</v>
      </c>
      <c r="C53" s="3" t="s">
        <v>10</v>
      </c>
      <c r="D53" s="3" t="s">
        <v>11</v>
      </c>
      <c r="E53" s="3" t="n">
        <v>2</v>
      </c>
      <c r="F53" s="3" t="n">
        <v>12.54</v>
      </c>
      <c r="G53" s="3" t="n">
        <v>2.5</v>
      </c>
    </row>
    <row r="54" customFormat="false" ht="15" hidden="false" customHeight="false" outlineLevel="0" collapsed="false">
      <c r="A54" s="4" t="s">
        <v>8</v>
      </c>
      <c r="B54" s="4" t="s">
        <v>9</v>
      </c>
      <c r="C54" s="4" t="s">
        <v>10</v>
      </c>
      <c r="D54" s="4" t="s">
        <v>11</v>
      </c>
      <c r="E54" s="4" t="n">
        <v>2</v>
      </c>
      <c r="F54" s="4" t="n">
        <v>10.29</v>
      </c>
      <c r="G54" s="4" t="n">
        <v>2.6</v>
      </c>
    </row>
    <row r="55" customFormat="false" ht="15" hidden="false" customHeight="false" outlineLevel="0" collapsed="false">
      <c r="A55" s="3" t="s">
        <v>8</v>
      </c>
      <c r="B55" s="3" t="s">
        <v>9</v>
      </c>
      <c r="C55" s="3" t="s">
        <v>10</v>
      </c>
      <c r="D55" s="3" t="s">
        <v>11</v>
      </c>
      <c r="E55" s="3" t="n">
        <v>4</v>
      </c>
      <c r="F55" s="3" t="n">
        <v>34.81</v>
      </c>
      <c r="G55" s="3" t="n">
        <v>5.2</v>
      </c>
    </row>
    <row r="56" customFormat="false" ht="15" hidden="false" customHeight="false" outlineLevel="0" collapsed="false">
      <c r="A56" s="4" t="s">
        <v>12</v>
      </c>
      <c r="B56" s="4" t="s">
        <v>9</v>
      </c>
      <c r="C56" s="4" t="s">
        <v>10</v>
      </c>
      <c r="D56" s="4" t="s">
        <v>11</v>
      </c>
      <c r="E56" s="4" t="n">
        <v>2</v>
      </c>
      <c r="F56" s="4" t="n">
        <v>9.94</v>
      </c>
      <c r="G56" s="4" t="n">
        <v>1.56</v>
      </c>
    </row>
    <row r="57" customFormat="false" ht="15" hidden="false" customHeight="false" outlineLevel="0" collapsed="false">
      <c r="A57" s="3" t="s">
        <v>12</v>
      </c>
      <c r="B57" s="3" t="s">
        <v>9</v>
      </c>
      <c r="C57" s="3" t="s">
        <v>10</v>
      </c>
      <c r="D57" s="3" t="s">
        <v>11</v>
      </c>
      <c r="E57" s="3" t="n">
        <v>4</v>
      </c>
      <c r="F57" s="3" t="n">
        <v>25.56</v>
      </c>
      <c r="G57" s="3" t="n">
        <v>4.34</v>
      </c>
    </row>
    <row r="58" customFormat="false" ht="15" hidden="false" customHeight="false" outlineLevel="0" collapsed="false">
      <c r="A58" s="4" t="s">
        <v>12</v>
      </c>
      <c r="B58" s="4" t="s">
        <v>9</v>
      </c>
      <c r="C58" s="4" t="s">
        <v>10</v>
      </c>
      <c r="D58" s="4" t="s">
        <v>11</v>
      </c>
      <c r="E58" s="4" t="n">
        <v>2</v>
      </c>
      <c r="F58" s="4" t="n">
        <v>19.49</v>
      </c>
      <c r="G58" s="4" t="n">
        <v>3.51</v>
      </c>
    </row>
    <row r="59" customFormat="false" ht="15" hidden="false" customHeight="false" outlineLevel="0" collapsed="false">
      <c r="A59" s="3" t="s">
        <v>12</v>
      </c>
      <c r="B59" s="3" t="s">
        <v>14</v>
      </c>
      <c r="C59" s="3" t="s">
        <v>13</v>
      </c>
      <c r="D59" s="3" t="s">
        <v>11</v>
      </c>
      <c r="E59" s="3" t="n">
        <v>4</v>
      </c>
      <c r="F59" s="3" t="n">
        <v>38.01</v>
      </c>
      <c r="G59" s="3" t="n">
        <v>3</v>
      </c>
    </row>
    <row r="60" customFormat="false" ht="15" hidden="false" customHeight="false" outlineLevel="0" collapsed="false">
      <c r="A60" s="4" t="s">
        <v>8</v>
      </c>
      <c r="B60" s="4" t="s">
        <v>9</v>
      </c>
      <c r="C60" s="4" t="s">
        <v>13</v>
      </c>
      <c r="D60" s="4" t="s">
        <v>11</v>
      </c>
      <c r="E60" s="4" t="n">
        <v>2</v>
      </c>
      <c r="F60" s="4" t="n">
        <v>26.41</v>
      </c>
      <c r="G60" s="4" t="n">
        <v>1.5</v>
      </c>
    </row>
    <row r="61" customFormat="false" ht="15" hidden="false" customHeight="false" outlineLevel="0" collapsed="false">
      <c r="A61" s="3" t="s">
        <v>12</v>
      </c>
      <c r="B61" s="3" t="s">
        <v>14</v>
      </c>
      <c r="C61" s="3" t="s">
        <v>13</v>
      </c>
      <c r="D61" s="3" t="s">
        <v>11</v>
      </c>
      <c r="E61" s="3" t="n">
        <v>2</v>
      </c>
      <c r="F61" s="3" t="n">
        <v>11.24</v>
      </c>
      <c r="G61" s="3" t="n">
        <v>1.76</v>
      </c>
    </row>
    <row r="62" customFormat="false" ht="15" hidden="false" customHeight="false" outlineLevel="0" collapsed="false">
      <c r="A62" s="4" t="s">
        <v>12</v>
      </c>
      <c r="B62" s="4" t="s">
        <v>9</v>
      </c>
      <c r="C62" s="4" t="s">
        <v>13</v>
      </c>
      <c r="D62" s="4" t="s">
        <v>11</v>
      </c>
      <c r="E62" s="4" t="n">
        <v>4</v>
      </c>
      <c r="F62" s="4" t="n">
        <v>48.27</v>
      </c>
      <c r="G62" s="4" t="n">
        <v>6.73</v>
      </c>
    </row>
    <row r="63" customFormat="false" ht="15" hidden="false" customHeight="false" outlineLevel="0" collapsed="false">
      <c r="A63" s="3" t="s">
        <v>12</v>
      </c>
      <c r="B63" s="3" t="s">
        <v>14</v>
      </c>
      <c r="C63" s="3" t="s">
        <v>13</v>
      </c>
      <c r="D63" s="3" t="s">
        <v>11</v>
      </c>
      <c r="E63" s="3" t="n">
        <v>2</v>
      </c>
      <c r="F63" s="3" t="n">
        <v>20.29</v>
      </c>
      <c r="G63" s="3" t="n">
        <v>3.21</v>
      </c>
    </row>
    <row r="64" customFormat="false" ht="15" hidden="false" customHeight="false" outlineLevel="0" collapsed="false">
      <c r="A64" s="4" t="s">
        <v>12</v>
      </c>
      <c r="B64" s="4" t="s">
        <v>14</v>
      </c>
      <c r="C64" s="4" t="s">
        <v>13</v>
      </c>
      <c r="D64" s="4" t="s">
        <v>11</v>
      </c>
      <c r="E64" s="4" t="n">
        <v>2</v>
      </c>
      <c r="F64" s="4" t="n">
        <v>13.81</v>
      </c>
      <c r="G64" s="4" t="n">
        <v>2</v>
      </c>
    </row>
    <row r="65" customFormat="false" ht="15" hidden="false" customHeight="false" outlineLevel="0" collapsed="false">
      <c r="A65" s="3" t="s">
        <v>12</v>
      </c>
      <c r="B65" s="3" t="s">
        <v>14</v>
      </c>
      <c r="C65" s="3" t="s">
        <v>13</v>
      </c>
      <c r="D65" s="3" t="s">
        <v>11</v>
      </c>
      <c r="E65" s="3" t="n">
        <v>2</v>
      </c>
      <c r="F65" s="3" t="n">
        <v>11.02</v>
      </c>
      <c r="G65" s="3" t="n">
        <v>1.98</v>
      </c>
    </row>
    <row r="66" customFormat="false" ht="15" hidden="false" customHeight="false" outlineLevel="0" collapsed="false">
      <c r="A66" s="4" t="s">
        <v>12</v>
      </c>
      <c r="B66" s="4" t="s">
        <v>14</v>
      </c>
      <c r="C66" s="4" t="s">
        <v>13</v>
      </c>
      <c r="D66" s="4" t="s">
        <v>11</v>
      </c>
      <c r="E66" s="4" t="n">
        <v>4</v>
      </c>
      <c r="F66" s="4" t="n">
        <v>18.29</v>
      </c>
      <c r="G66" s="4" t="n">
        <v>3.76</v>
      </c>
    </row>
    <row r="67" customFormat="false" ht="15" hidden="false" customHeight="false" outlineLevel="0" collapsed="false">
      <c r="A67" s="3" t="s">
        <v>12</v>
      </c>
      <c r="B67" s="3" t="s">
        <v>9</v>
      </c>
      <c r="C67" s="3" t="s">
        <v>13</v>
      </c>
      <c r="D67" s="3" t="s">
        <v>11</v>
      </c>
      <c r="E67" s="3" t="n">
        <v>3</v>
      </c>
      <c r="F67" s="3" t="n">
        <v>17.59</v>
      </c>
      <c r="G67" s="3" t="n">
        <v>2.64</v>
      </c>
    </row>
    <row r="68" customFormat="false" ht="15" hidden="false" customHeight="false" outlineLevel="0" collapsed="false">
      <c r="A68" s="4" t="s">
        <v>12</v>
      </c>
      <c r="B68" s="4" t="s">
        <v>9</v>
      </c>
      <c r="C68" s="4" t="s">
        <v>13</v>
      </c>
      <c r="D68" s="4" t="s">
        <v>11</v>
      </c>
      <c r="E68" s="4" t="n">
        <v>3</v>
      </c>
      <c r="F68" s="4" t="n">
        <v>20.08</v>
      </c>
      <c r="G68" s="4" t="n">
        <v>3.15</v>
      </c>
    </row>
    <row r="69" customFormat="false" ht="15" hidden="false" customHeight="false" outlineLevel="0" collapsed="false">
      <c r="A69" s="3" t="s">
        <v>8</v>
      </c>
      <c r="B69" s="3" t="s">
        <v>9</v>
      </c>
      <c r="C69" s="3" t="s">
        <v>13</v>
      </c>
      <c r="D69" s="3" t="s">
        <v>11</v>
      </c>
      <c r="E69" s="3" t="n">
        <v>2</v>
      </c>
      <c r="F69" s="3" t="n">
        <v>16.45</v>
      </c>
      <c r="G69" s="3" t="n">
        <v>2.47</v>
      </c>
    </row>
    <row r="70" customFormat="false" ht="15" hidden="false" customHeight="false" outlineLevel="0" collapsed="false">
      <c r="A70" s="4" t="s">
        <v>8</v>
      </c>
      <c r="B70" s="4" t="s">
        <v>14</v>
      </c>
      <c r="C70" s="4" t="s">
        <v>13</v>
      </c>
      <c r="D70" s="4" t="s">
        <v>11</v>
      </c>
      <c r="E70" s="4" t="n">
        <v>1</v>
      </c>
      <c r="F70" s="4" t="n">
        <v>3.07</v>
      </c>
      <c r="G70" s="4" t="n">
        <v>1</v>
      </c>
    </row>
    <row r="71" customFormat="false" ht="15" hidden="false" customHeight="false" outlineLevel="0" collapsed="false">
      <c r="A71" s="3" t="s">
        <v>12</v>
      </c>
      <c r="B71" s="3" t="s">
        <v>9</v>
      </c>
      <c r="C71" s="3" t="s">
        <v>13</v>
      </c>
      <c r="D71" s="3" t="s">
        <v>11</v>
      </c>
      <c r="E71" s="3" t="n">
        <v>2</v>
      </c>
      <c r="F71" s="3" t="n">
        <v>20.23</v>
      </c>
      <c r="G71" s="3" t="n">
        <v>2.01</v>
      </c>
    </row>
    <row r="72" customFormat="false" ht="15" hidden="false" customHeight="false" outlineLevel="0" collapsed="false">
      <c r="A72" s="4" t="s">
        <v>12</v>
      </c>
      <c r="B72" s="4" t="s">
        <v>14</v>
      </c>
      <c r="C72" s="4" t="s">
        <v>13</v>
      </c>
      <c r="D72" s="4" t="s">
        <v>11</v>
      </c>
      <c r="E72" s="4" t="n">
        <v>2</v>
      </c>
      <c r="F72" s="4" t="n">
        <v>15.01</v>
      </c>
      <c r="G72" s="4" t="n">
        <v>2.09</v>
      </c>
    </row>
    <row r="73" customFormat="false" ht="15" hidden="false" customHeight="false" outlineLevel="0" collapsed="false">
      <c r="A73" s="3" t="s">
        <v>12</v>
      </c>
      <c r="B73" s="3" t="s">
        <v>9</v>
      </c>
      <c r="C73" s="3" t="s">
        <v>13</v>
      </c>
      <c r="D73" s="3" t="s">
        <v>11</v>
      </c>
      <c r="E73" s="3" t="n">
        <v>2</v>
      </c>
      <c r="F73" s="3" t="n">
        <v>12.02</v>
      </c>
      <c r="G73" s="3" t="n">
        <v>1.97</v>
      </c>
    </row>
    <row r="74" customFormat="false" ht="15" hidden="false" customHeight="false" outlineLevel="0" collapsed="false">
      <c r="A74" s="4" t="s">
        <v>8</v>
      </c>
      <c r="B74" s="4" t="s">
        <v>9</v>
      </c>
      <c r="C74" s="4" t="s">
        <v>13</v>
      </c>
      <c r="D74" s="4" t="s">
        <v>11</v>
      </c>
      <c r="E74" s="4" t="n">
        <v>3</v>
      </c>
      <c r="F74" s="4" t="n">
        <v>17.07</v>
      </c>
      <c r="G74" s="4" t="n">
        <v>3</v>
      </c>
    </row>
    <row r="75" customFormat="false" ht="15" hidden="false" customHeight="false" outlineLevel="0" collapsed="false">
      <c r="A75" s="3" t="s">
        <v>8</v>
      </c>
      <c r="B75" s="3" t="s">
        <v>14</v>
      </c>
      <c r="C75" s="3" t="s">
        <v>13</v>
      </c>
      <c r="D75" s="3" t="s">
        <v>11</v>
      </c>
      <c r="E75" s="3" t="n">
        <v>2</v>
      </c>
      <c r="F75" s="3" t="n">
        <v>26.86</v>
      </c>
      <c r="G75" s="3" t="n">
        <v>3.14</v>
      </c>
    </row>
    <row r="76" customFormat="false" ht="15" hidden="false" customHeight="false" outlineLevel="0" collapsed="false">
      <c r="A76" s="4" t="s">
        <v>8</v>
      </c>
      <c r="B76" s="4" t="s">
        <v>14</v>
      </c>
      <c r="C76" s="4" t="s">
        <v>13</v>
      </c>
      <c r="D76" s="4" t="s">
        <v>11</v>
      </c>
      <c r="E76" s="4" t="n">
        <v>2</v>
      </c>
      <c r="F76" s="4" t="n">
        <v>25.28</v>
      </c>
      <c r="G76" s="4" t="n">
        <v>5</v>
      </c>
    </row>
    <row r="77" customFormat="false" ht="15" hidden="false" customHeight="false" outlineLevel="0" collapsed="false">
      <c r="A77" s="3" t="s">
        <v>8</v>
      </c>
      <c r="B77" s="3" t="s">
        <v>9</v>
      </c>
      <c r="C77" s="3" t="s">
        <v>13</v>
      </c>
      <c r="D77" s="3" t="s">
        <v>11</v>
      </c>
      <c r="E77" s="3" t="n">
        <v>2</v>
      </c>
      <c r="F77" s="3" t="n">
        <v>14.73</v>
      </c>
      <c r="G77" s="3" t="n">
        <v>2.2</v>
      </c>
    </row>
    <row r="78" customFormat="false" ht="15" hidden="false" customHeight="false" outlineLevel="0" collapsed="false">
      <c r="A78" s="4" t="s">
        <v>12</v>
      </c>
      <c r="B78" s="4" t="s">
        <v>9</v>
      </c>
      <c r="C78" s="4" t="s">
        <v>13</v>
      </c>
      <c r="D78" s="4" t="s">
        <v>11</v>
      </c>
      <c r="E78" s="4" t="n">
        <v>2</v>
      </c>
      <c r="F78" s="4" t="n">
        <v>10.51</v>
      </c>
      <c r="G78" s="4" t="n">
        <v>1.25</v>
      </c>
    </row>
    <row r="79" customFormat="false" ht="15" hidden="false" customHeight="false" outlineLevel="0" collapsed="false">
      <c r="A79" s="3" t="s">
        <v>12</v>
      </c>
      <c r="B79" s="3" t="s">
        <v>14</v>
      </c>
      <c r="C79" s="3" t="s">
        <v>13</v>
      </c>
      <c r="D79" s="3" t="s">
        <v>11</v>
      </c>
      <c r="E79" s="3" t="n">
        <v>2</v>
      </c>
      <c r="F79" s="3" t="n">
        <v>17.92</v>
      </c>
      <c r="G79" s="3" t="n">
        <v>3.08</v>
      </c>
    </row>
    <row r="80" customFormat="false" ht="15" hidden="false" customHeight="false" outlineLevel="0" collapsed="false">
      <c r="A80" s="4" t="s">
        <v>12</v>
      </c>
      <c r="B80" s="4" t="s">
        <v>9</v>
      </c>
      <c r="C80" s="4" t="s">
        <v>15</v>
      </c>
      <c r="D80" s="4" t="s">
        <v>16</v>
      </c>
      <c r="E80" s="4" t="n">
        <v>4</v>
      </c>
      <c r="F80" s="4" t="n">
        <v>27.2</v>
      </c>
      <c r="G80" s="4" t="n">
        <v>4</v>
      </c>
    </row>
    <row r="81" customFormat="false" ht="15" hidden="false" customHeight="false" outlineLevel="0" collapsed="false">
      <c r="A81" s="3" t="s">
        <v>12</v>
      </c>
      <c r="B81" s="3" t="s">
        <v>9</v>
      </c>
      <c r="C81" s="3" t="s">
        <v>15</v>
      </c>
      <c r="D81" s="3" t="s">
        <v>16</v>
      </c>
      <c r="E81" s="3" t="n">
        <v>2</v>
      </c>
      <c r="F81" s="3" t="n">
        <v>22.76</v>
      </c>
      <c r="G81" s="3" t="n">
        <v>3</v>
      </c>
    </row>
    <row r="82" customFormat="false" ht="15" hidden="false" customHeight="false" outlineLevel="0" collapsed="false">
      <c r="A82" s="4" t="s">
        <v>12</v>
      </c>
      <c r="B82" s="4" t="s">
        <v>9</v>
      </c>
      <c r="C82" s="4" t="s">
        <v>15</v>
      </c>
      <c r="D82" s="4" t="s">
        <v>16</v>
      </c>
      <c r="E82" s="4" t="n">
        <v>2</v>
      </c>
      <c r="F82" s="4" t="n">
        <v>17.29</v>
      </c>
      <c r="G82" s="4" t="n">
        <v>2.71</v>
      </c>
    </row>
    <row r="83" customFormat="false" ht="15" hidden="false" customHeight="false" outlineLevel="0" collapsed="false">
      <c r="A83" s="3" t="s">
        <v>12</v>
      </c>
      <c r="B83" s="3" t="s">
        <v>14</v>
      </c>
      <c r="C83" s="3" t="s">
        <v>15</v>
      </c>
      <c r="D83" s="3" t="s">
        <v>16</v>
      </c>
      <c r="E83" s="3" t="n">
        <v>2</v>
      </c>
      <c r="F83" s="3" t="n">
        <v>19.44</v>
      </c>
      <c r="G83" s="3" t="n">
        <v>3</v>
      </c>
    </row>
    <row r="84" customFormat="false" ht="15" hidden="false" customHeight="false" outlineLevel="0" collapsed="false">
      <c r="A84" s="4" t="s">
        <v>12</v>
      </c>
      <c r="B84" s="4" t="s">
        <v>9</v>
      </c>
      <c r="C84" s="4" t="s">
        <v>15</v>
      </c>
      <c r="D84" s="4" t="s">
        <v>16</v>
      </c>
      <c r="E84" s="4" t="n">
        <v>2</v>
      </c>
      <c r="F84" s="4" t="n">
        <v>16.66</v>
      </c>
      <c r="G84" s="4" t="n">
        <v>3.4</v>
      </c>
    </row>
    <row r="85" customFormat="false" ht="15" hidden="false" customHeight="false" outlineLevel="0" collapsed="false">
      <c r="A85" s="3" t="s">
        <v>8</v>
      </c>
      <c r="B85" s="3" t="s">
        <v>9</v>
      </c>
      <c r="C85" s="3" t="s">
        <v>15</v>
      </c>
      <c r="D85" s="3" t="s">
        <v>16</v>
      </c>
      <c r="E85" s="3" t="n">
        <v>1</v>
      </c>
      <c r="F85" s="3" t="n">
        <v>10.07</v>
      </c>
      <c r="G85" s="3" t="n">
        <v>1.83</v>
      </c>
    </row>
    <row r="86" customFormat="false" ht="15" hidden="false" customHeight="false" outlineLevel="0" collapsed="false">
      <c r="A86" s="4" t="s">
        <v>12</v>
      </c>
      <c r="B86" s="4" t="s">
        <v>14</v>
      </c>
      <c r="C86" s="4" t="s">
        <v>15</v>
      </c>
      <c r="D86" s="4" t="s">
        <v>16</v>
      </c>
      <c r="E86" s="4" t="n">
        <v>2</v>
      </c>
      <c r="F86" s="4" t="n">
        <v>32.68</v>
      </c>
      <c r="G86" s="4" t="n">
        <v>5</v>
      </c>
    </row>
    <row r="87" customFormat="false" ht="15" hidden="false" customHeight="false" outlineLevel="0" collapsed="false">
      <c r="A87" s="3" t="s">
        <v>12</v>
      </c>
      <c r="B87" s="3" t="s">
        <v>9</v>
      </c>
      <c r="C87" s="3" t="s">
        <v>15</v>
      </c>
      <c r="D87" s="3" t="s">
        <v>16</v>
      </c>
      <c r="E87" s="3" t="n">
        <v>2</v>
      </c>
      <c r="F87" s="3" t="n">
        <v>15.98</v>
      </c>
      <c r="G87" s="3" t="n">
        <v>2.03</v>
      </c>
    </row>
    <row r="88" customFormat="false" ht="15" hidden="false" customHeight="false" outlineLevel="0" collapsed="false">
      <c r="A88" s="4" t="s">
        <v>8</v>
      </c>
      <c r="B88" s="4" t="s">
        <v>9</v>
      </c>
      <c r="C88" s="4" t="s">
        <v>15</v>
      </c>
      <c r="D88" s="4" t="s">
        <v>16</v>
      </c>
      <c r="E88" s="4" t="n">
        <v>4</v>
      </c>
      <c r="F88" s="4" t="n">
        <v>34.83</v>
      </c>
      <c r="G88" s="4" t="n">
        <v>5.17</v>
      </c>
    </row>
    <row r="89" customFormat="false" ht="15" hidden="false" customHeight="false" outlineLevel="0" collapsed="false">
      <c r="A89" s="3" t="s">
        <v>12</v>
      </c>
      <c r="B89" s="3" t="s">
        <v>9</v>
      </c>
      <c r="C89" s="3" t="s">
        <v>15</v>
      </c>
      <c r="D89" s="3" t="s">
        <v>16</v>
      </c>
      <c r="E89" s="3" t="n">
        <v>2</v>
      </c>
      <c r="F89" s="3" t="n">
        <v>13.03</v>
      </c>
      <c r="G89" s="3" t="n">
        <v>2</v>
      </c>
    </row>
    <row r="90" customFormat="false" ht="15" hidden="false" customHeight="false" outlineLevel="0" collapsed="false">
      <c r="A90" s="4" t="s">
        <v>12</v>
      </c>
      <c r="B90" s="4" t="s">
        <v>9</v>
      </c>
      <c r="C90" s="4" t="s">
        <v>15</v>
      </c>
      <c r="D90" s="4" t="s">
        <v>16</v>
      </c>
      <c r="E90" s="4" t="n">
        <v>2</v>
      </c>
      <c r="F90" s="4" t="n">
        <v>18.28</v>
      </c>
      <c r="G90" s="4" t="n">
        <v>4</v>
      </c>
    </row>
    <row r="91" customFormat="false" ht="15" hidden="false" customHeight="false" outlineLevel="0" collapsed="false">
      <c r="A91" s="3" t="s">
        <v>12</v>
      </c>
      <c r="B91" s="3" t="s">
        <v>9</v>
      </c>
      <c r="C91" s="3" t="s">
        <v>15</v>
      </c>
      <c r="D91" s="3" t="s">
        <v>16</v>
      </c>
      <c r="E91" s="3" t="n">
        <v>2</v>
      </c>
      <c r="F91" s="3" t="n">
        <v>24.71</v>
      </c>
      <c r="G91" s="3" t="n">
        <v>5.85</v>
      </c>
    </row>
    <row r="92" customFormat="false" ht="15" hidden="false" customHeight="false" outlineLevel="0" collapsed="false">
      <c r="A92" s="4" t="s">
        <v>12</v>
      </c>
      <c r="B92" s="4" t="s">
        <v>9</v>
      </c>
      <c r="C92" s="4" t="s">
        <v>15</v>
      </c>
      <c r="D92" s="4" t="s">
        <v>16</v>
      </c>
      <c r="E92" s="4" t="n">
        <v>2</v>
      </c>
      <c r="F92" s="4" t="n">
        <v>21.16</v>
      </c>
      <c r="G92" s="4" t="n">
        <v>3</v>
      </c>
    </row>
    <row r="93" customFormat="false" ht="15" hidden="false" customHeight="false" outlineLevel="0" collapsed="false">
      <c r="A93" s="3" t="s">
        <v>12</v>
      </c>
      <c r="B93" s="3" t="s">
        <v>14</v>
      </c>
      <c r="C93" s="3" t="s">
        <v>17</v>
      </c>
      <c r="D93" s="3" t="s">
        <v>11</v>
      </c>
      <c r="E93" s="3" t="n">
        <v>2</v>
      </c>
      <c r="F93" s="3" t="n">
        <v>28.97</v>
      </c>
      <c r="G93" s="3" t="n">
        <v>3</v>
      </c>
    </row>
    <row r="94" customFormat="false" ht="15" hidden="false" customHeight="false" outlineLevel="0" collapsed="false">
      <c r="A94" s="4" t="s">
        <v>12</v>
      </c>
      <c r="B94" s="4" t="s">
        <v>9</v>
      </c>
      <c r="C94" s="4" t="s">
        <v>17</v>
      </c>
      <c r="D94" s="4" t="s">
        <v>11</v>
      </c>
      <c r="E94" s="4" t="n">
        <v>2</v>
      </c>
      <c r="F94" s="4" t="n">
        <v>22.49</v>
      </c>
      <c r="G94" s="4" t="n">
        <v>3.5</v>
      </c>
    </row>
    <row r="95" customFormat="false" ht="15" hidden="false" customHeight="false" outlineLevel="0" collapsed="false">
      <c r="A95" s="3" t="s">
        <v>8</v>
      </c>
      <c r="B95" s="3" t="s">
        <v>14</v>
      </c>
      <c r="C95" s="3" t="s">
        <v>17</v>
      </c>
      <c r="D95" s="3" t="s">
        <v>11</v>
      </c>
      <c r="E95" s="3" t="n">
        <v>2</v>
      </c>
      <c r="F95" s="3" t="n">
        <v>5.75</v>
      </c>
      <c r="G95" s="3" t="n">
        <v>1</v>
      </c>
    </row>
    <row r="96" customFormat="false" ht="15" hidden="false" customHeight="false" outlineLevel="0" collapsed="false">
      <c r="A96" s="4" t="s">
        <v>8</v>
      </c>
      <c r="B96" s="4" t="s">
        <v>14</v>
      </c>
      <c r="C96" s="4" t="s">
        <v>17</v>
      </c>
      <c r="D96" s="4" t="s">
        <v>11</v>
      </c>
      <c r="E96" s="4" t="n">
        <v>2</v>
      </c>
      <c r="F96" s="4" t="n">
        <v>16.32</v>
      </c>
      <c r="G96" s="4" t="n">
        <v>4.3</v>
      </c>
    </row>
    <row r="97" customFormat="false" ht="15" hidden="false" customHeight="false" outlineLevel="0" collapsed="false">
      <c r="A97" s="3" t="s">
        <v>8</v>
      </c>
      <c r="B97" s="3" t="s">
        <v>9</v>
      </c>
      <c r="C97" s="3" t="s">
        <v>17</v>
      </c>
      <c r="D97" s="3" t="s">
        <v>11</v>
      </c>
      <c r="E97" s="3" t="n">
        <v>2</v>
      </c>
      <c r="F97" s="3" t="n">
        <v>22.75</v>
      </c>
      <c r="G97" s="3" t="n">
        <v>3.25</v>
      </c>
    </row>
    <row r="98" customFormat="false" ht="15" hidden="false" customHeight="false" outlineLevel="0" collapsed="false">
      <c r="A98" s="4" t="s">
        <v>12</v>
      </c>
      <c r="B98" s="4" t="s">
        <v>14</v>
      </c>
      <c r="C98" s="4" t="s">
        <v>17</v>
      </c>
      <c r="D98" s="4" t="s">
        <v>11</v>
      </c>
      <c r="E98" s="4" t="n">
        <v>4</v>
      </c>
      <c r="F98" s="4" t="n">
        <v>40.17</v>
      </c>
      <c r="G98" s="4" t="n">
        <v>4.73</v>
      </c>
    </row>
    <row r="99" customFormat="false" ht="15" hidden="false" customHeight="false" outlineLevel="0" collapsed="false">
      <c r="A99" s="3" t="s">
        <v>12</v>
      </c>
      <c r="B99" s="3" t="s">
        <v>14</v>
      </c>
      <c r="C99" s="3" t="s">
        <v>17</v>
      </c>
      <c r="D99" s="3" t="s">
        <v>11</v>
      </c>
      <c r="E99" s="3" t="n">
        <v>2</v>
      </c>
      <c r="F99" s="3" t="n">
        <v>27.28</v>
      </c>
      <c r="G99" s="3" t="n">
        <v>4</v>
      </c>
    </row>
    <row r="100" customFormat="false" ht="15" hidden="false" customHeight="false" outlineLevel="0" collapsed="false">
      <c r="A100" s="4" t="s">
        <v>12</v>
      </c>
      <c r="B100" s="4" t="s">
        <v>14</v>
      </c>
      <c r="C100" s="4" t="s">
        <v>17</v>
      </c>
      <c r="D100" s="4" t="s">
        <v>11</v>
      </c>
      <c r="E100" s="4" t="n">
        <v>2</v>
      </c>
      <c r="F100" s="4" t="n">
        <v>12.03</v>
      </c>
      <c r="G100" s="4" t="n">
        <v>1.5</v>
      </c>
    </row>
    <row r="101" customFormat="false" ht="15" hidden="false" customHeight="false" outlineLevel="0" collapsed="false">
      <c r="A101" s="3" t="s">
        <v>12</v>
      </c>
      <c r="B101" s="3" t="s">
        <v>14</v>
      </c>
      <c r="C101" s="3" t="s">
        <v>17</v>
      </c>
      <c r="D101" s="3" t="s">
        <v>11</v>
      </c>
      <c r="E101" s="3" t="n">
        <v>2</v>
      </c>
      <c r="F101" s="3" t="n">
        <v>21.01</v>
      </c>
      <c r="G101" s="3" t="n">
        <v>3</v>
      </c>
    </row>
    <row r="102" customFormat="false" ht="15" hidden="false" customHeight="false" outlineLevel="0" collapsed="false">
      <c r="A102" s="4" t="s">
        <v>12</v>
      </c>
      <c r="B102" s="4" t="s">
        <v>9</v>
      </c>
      <c r="C102" s="4" t="s">
        <v>17</v>
      </c>
      <c r="D102" s="4" t="s">
        <v>11</v>
      </c>
      <c r="E102" s="4" t="n">
        <v>2</v>
      </c>
      <c r="F102" s="4" t="n">
        <v>12.46</v>
      </c>
      <c r="G102" s="4" t="n">
        <v>1.5</v>
      </c>
    </row>
    <row r="103" customFormat="false" ht="15" hidden="false" customHeight="false" outlineLevel="0" collapsed="false">
      <c r="A103" s="3" t="s">
        <v>8</v>
      </c>
      <c r="B103" s="3" t="s">
        <v>14</v>
      </c>
      <c r="C103" s="3" t="s">
        <v>17</v>
      </c>
      <c r="D103" s="3" t="s">
        <v>11</v>
      </c>
      <c r="E103" s="3" t="n">
        <v>2</v>
      </c>
      <c r="F103" s="3" t="n">
        <v>11.35</v>
      </c>
      <c r="G103" s="3" t="n">
        <v>2.5</v>
      </c>
    </row>
    <row r="104" customFormat="false" ht="15" hidden="false" customHeight="false" outlineLevel="0" collapsed="false">
      <c r="A104" s="4" t="s">
        <v>8</v>
      </c>
      <c r="B104" s="4" t="s">
        <v>14</v>
      </c>
      <c r="C104" s="4" t="s">
        <v>17</v>
      </c>
      <c r="D104" s="4" t="s">
        <v>11</v>
      </c>
      <c r="E104" s="4" t="n">
        <v>2</v>
      </c>
      <c r="F104" s="4" t="n">
        <v>15.38</v>
      </c>
      <c r="G104" s="4" t="n">
        <v>3</v>
      </c>
    </row>
    <row r="105" customFormat="false" ht="15" hidden="false" customHeight="false" outlineLevel="0" collapsed="false">
      <c r="A105" s="3" t="s">
        <v>8</v>
      </c>
      <c r="B105" s="3" t="s">
        <v>14</v>
      </c>
      <c r="C105" s="3" t="s">
        <v>13</v>
      </c>
      <c r="D105" s="3" t="s">
        <v>11</v>
      </c>
      <c r="E105" s="3" t="n">
        <v>3</v>
      </c>
      <c r="F105" s="3" t="n">
        <v>44.3</v>
      </c>
      <c r="G105" s="3" t="n">
        <v>2.5</v>
      </c>
    </row>
    <row r="106" customFormat="false" ht="15" hidden="false" customHeight="false" outlineLevel="0" collapsed="false">
      <c r="A106" s="4" t="s">
        <v>8</v>
      </c>
      <c r="B106" s="4" t="s">
        <v>14</v>
      </c>
      <c r="C106" s="4" t="s">
        <v>13</v>
      </c>
      <c r="D106" s="4" t="s">
        <v>11</v>
      </c>
      <c r="E106" s="4" t="n">
        <v>2</v>
      </c>
      <c r="F106" s="4" t="n">
        <v>22.42</v>
      </c>
      <c r="G106" s="4" t="n">
        <v>3.48</v>
      </c>
    </row>
    <row r="107" customFormat="false" ht="15" hidden="false" customHeight="false" outlineLevel="0" collapsed="false">
      <c r="A107" s="3" t="s">
        <v>8</v>
      </c>
      <c r="B107" s="3" t="s">
        <v>9</v>
      </c>
      <c r="C107" s="3" t="s">
        <v>13</v>
      </c>
      <c r="D107" s="3" t="s">
        <v>11</v>
      </c>
      <c r="E107" s="3" t="n">
        <v>2</v>
      </c>
      <c r="F107" s="3" t="n">
        <v>20.92</v>
      </c>
      <c r="G107" s="3" t="n">
        <v>4.08</v>
      </c>
    </row>
    <row r="108" customFormat="false" ht="15" hidden="false" customHeight="false" outlineLevel="0" collapsed="false">
      <c r="A108" s="4" t="s">
        <v>12</v>
      </c>
      <c r="B108" s="4" t="s">
        <v>14</v>
      </c>
      <c r="C108" s="4" t="s">
        <v>13</v>
      </c>
      <c r="D108" s="4" t="s">
        <v>11</v>
      </c>
      <c r="E108" s="4" t="n">
        <v>2</v>
      </c>
      <c r="F108" s="4" t="n">
        <v>15.36</v>
      </c>
      <c r="G108" s="4" t="n">
        <v>1.64</v>
      </c>
    </row>
    <row r="109" customFormat="false" ht="15" hidden="false" customHeight="false" outlineLevel="0" collapsed="false">
      <c r="A109" s="3" t="s">
        <v>12</v>
      </c>
      <c r="B109" s="3" t="s">
        <v>14</v>
      </c>
      <c r="C109" s="3" t="s">
        <v>13</v>
      </c>
      <c r="D109" s="3" t="s">
        <v>11</v>
      </c>
      <c r="E109" s="3" t="n">
        <v>2</v>
      </c>
      <c r="F109" s="3" t="n">
        <v>20.49</v>
      </c>
      <c r="G109" s="3" t="n">
        <v>4.06</v>
      </c>
    </row>
    <row r="110" customFormat="false" ht="15" hidden="false" customHeight="false" outlineLevel="0" collapsed="false">
      <c r="A110" s="4" t="s">
        <v>12</v>
      </c>
      <c r="B110" s="4" t="s">
        <v>14</v>
      </c>
      <c r="C110" s="4" t="s">
        <v>13</v>
      </c>
      <c r="D110" s="4" t="s">
        <v>11</v>
      </c>
      <c r="E110" s="4" t="n">
        <v>2</v>
      </c>
      <c r="F110" s="4" t="n">
        <v>25.21</v>
      </c>
      <c r="G110" s="4" t="n">
        <v>4.29</v>
      </c>
    </row>
    <row r="111" customFormat="false" ht="15" hidden="false" customHeight="false" outlineLevel="0" collapsed="false">
      <c r="A111" s="3" t="s">
        <v>12</v>
      </c>
      <c r="B111" s="3" t="s">
        <v>9</v>
      </c>
      <c r="C111" s="3" t="s">
        <v>13</v>
      </c>
      <c r="D111" s="3" t="s">
        <v>11</v>
      </c>
      <c r="E111" s="3" t="n">
        <v>2</v>
      </c>
      <c r="F111" s="3" t="n">
        <v>18.24</v>
      </c>
      <c r="G111" s="3" t="n">
        <v>3.76</v>
      </c>
    </row>
    <row r="112" customFormat="false" ht="15" hidden="false" customHeight="false" outlineLevel="0" collapsed="false">
      <c r="A112" s="4" t="s">
        <v>8</v>
      </c>
      <c r="B112" s="4" t="s">
        <v>14</v>
      </c>
      <c r="C112" s="4" t="s">
        <v>13</v>
      </c>
      <c r="D112" s="4" t="s">
        <v>11</v>
      </c>
      <c r="E112" s="4" t="n">
        <v>2</v>
      </c>
      <c r="F112" s="4" t="n">
        <v>14.31</v>
      </c>
      <c r="G112" s="4" t="n">
        <v>4</v>
      </c>
    </row>
    <row r="113" customFormat="false" ht="15" hidden="false" customHeight="false" outlineLevel="0" collapsed="false">
      <c r="A113" s="3" t="s">
        <v>12</v>
      </c>
      <c r="B113" s="3" t="s">
        <v>9</v>
      </c>
      <c r="C113" s="3" t="s">
        <v>13</v>
      </c>
      <c r="D113" s="3" t="s">
        <v>11</v>
      </c>
      <c r="E113" s="3" t="n">
        <v>2</v>
      </c>
      <c r="F113" s="3" t="n">
        <v>14</v>
      </c>
      <c r="G113" s="3" t="n">
        <v>3</v>
      </c>
    </row>
    <row r="114" customFormat="false" ht="15" hidden="false" customHeight="false" outlineLevel="0" collapsed="false">
      <c r="A114" s="4" t="s">
        <v>8</v>
      </c>
      <c r="B114" s="4" t="s">
        <v>9</v>
      </c>
      <c r="C114" s="4" t="s">
        <v>13</v>
      </c>
      <c r="D114" s="4" t="s">
        <v>11</v>
      </c>
      <c r="E114" s="4" t="n">
        <v>1</v>
      </c>
      <c r="F114" s="4" t="n">
        <v>7.25</v>
      </c>
      <c r="G114" s="4" t="n">
        <v>1</v>
      </c>
    </row>
    <row r="115" customFormat="false" ht="15" hidden="false" customHeight="false" outlineLevel="0" collapsed="false">
      <c r="A115" s="3" t="s">
        <v>12</v>
      </c>
      <c r="B115" s="3" t="s">
        <v>9</v>
      </c>
      <c r="C115" s="3" t="s">
        <v>10</v>
      </c>
      <c r="D115" s="3" t="s">
        <v>11</v>
      </c>
      <c r="E115" s="3" t="n">
        <v>3</v>
      </c>
      <c r="F115" s="3" t="n">
        <v>38.07</v>
      </c>
      <c r="G115" s="3" t="n">
        <v>4</v>
      </c>
    </row>
    <row r="116" customFormat="false" ht="15" hidden="false" customHeight="false" outlineLevel="0" collapsed="false">
      <c r="A116" s="4" t="s">
        <v>12</v>
      </c>
      <c r="B116" s="4" t="s">
        <v>9</v>
      </c>
      <c r="C116" s="4" t="s">
        <v>10</v>
      </c>
      <c r="D116" s="4" t="s">
        <v>11</v>
      </c>
      <c r="E116" s="4" t="n">
        <v>2</v>
      </c>
      <c r="F116" s="4" t="n">
        <v>23.95</v>
      </c>
      <c r="G116" s="4" t="n">
        <v>2.55</v>
      </c>
    </row>
    <row r="117" customFormat="false" ht="15" hidden="false" customHeight="false" outlineLevel="0" collapsed="false">
      <c r="A117" s="3" t="s">
        <v>8</v>
      </c>
      <c r="B117" s="3" t="s">
        <v>9</v>
      </c>
      <c r="C117" s="3" t="s">
        <v>10</v>
      </c>
      <c r="D117" s="3" t="s">
        <v>11</v>
      </c>
      <c r="E117" s="3" t="n">
        <v>3</v>
      </c>
      <c r="F117" s="3" t="n">
        <v>25.71</v>
      </c>
      <c r="G117" s="3" t="n">
        <v>4</v>
      </c>
    </row>
    <row r="118" customFormat="false" ht="15" hidden="false" customHeight="false" outlineLevel="0" collapsed="false">
      <c r="A118" s="4" t="s">
        <v>8</v>
      </c>
      <c r="B118" s="4" t="s">
        <v>9</v>
      </c>
      <c r="C118" s="4" t="s">
        <v>10</v>
      </c>
      <c r="D118" s="4" t="s">
        <v>11</v>
      </c>
      <c r="E118" s="4" t="n">
        <v>2</v>
      </c>
      <c r="F118" s="4" t="n">
        <v>17.31</v>
      </c>
      <c r="G118" s="4" t="n">
        <v>3.5</v>
      </c>
    </row>
    <row r="119" customFormat="false" ht="15" hidden="false" customHeight="false" outlineLevel="0" collapsed="false">
      <c r="A119" s="3" t="s">
        <v>12</v>
      </c>
      <c r="B119" s="3" t="s">
        <v>9</v>
      </c>
      <c r="C119" s="3" t="s">
        <v>10</v>
      </c>
      <c r="D119" s="3" t="s">
        <v>11</v>
      </c>
      <c r="E119" s="3" t="n">
        <v>4</v>
      </c>
      <c r="F119" s="3" t="n">
        <v>29.93</v>
      </c>
      <c r="G119" s="3" t="n">
        <v>5.07</v>
      </c>
    </row>
    <row r="120" customFormat="false" ht="15" hidden="false" customHeight="false" outlineLevel="0" collapsed="false">
      <c r="A120" s="4" t="s">
        <v>8</v>
      </c>
      <c r="B120" s="4" t="s">
        <v>9</v>
      </c>
      <c r="C120" s="4" t="s">
        <v>15</v>
      </c>
      <c r="D120" s="4" t="s">
        <v>16</v>
      </c>
      <c r="E120" s="4" t="n">
        <v>2</v>
      </c>
      <c r="F120" s="4" t="n">
        <v>10.65</v>
      </c>
      <c r="G120" s="4" t="n">
        <v>1.5</v>
      </c>
    </row>
    <row r="121" customFormat="false" ht="15" hidden="false" customHeight="false" outlineLevel="0" collapsed="false">
      <c r="A121" s="3" t="s">
        <v>8</v>
      </c>
      <c r="B121" s="3" t="s">
        <v>9</v>
      </c>
      <c r="C121" s="3" t="s">
        <v>15</v>
      </c>
      <c r="D121" s="3" t="s">
        <v>16</v>
      </c>
      <c r="E121" s="3" t="n">
        <v>2</v>
      </c>
      <c r="F121" s="3" t="n">
        <v>12.43</v>
      </c>
      <c r="G121" s="3" t="n">
        <v>1.8</v>
      </c>
    </row>
    <row r="122" customFormat="false" ht="15" hidden="false" customHeight="false" outlineLevel="0" collapsed="false">
      <c r="A122" s="4" t="s">
        <v>8</v>
      </c>
      <c r="B122" s="4" t="s">
        <v>9</v>
      </c>
      <c r="C122" s="4" t="s">
        <v>15</v>
      </c>
      <c r="D122" s="4" t="s">
        <v>16</v>
      </c>
      <c r="E122" s="4" t="n">
        <v>4</v>
      </c>
      <c r="F122" s="4" t="n">
        <v>24.08</v>
      </c>
      <c r="G122" s="4" t="n">
        <v>2.92</v>
      </c>
    </row>
    <row r="123" customFormat="false" ht="15" hidden="false" customHeight="false" outlineLevel="0" collapsed="false">
      <c r="A123" s="3" t="s">
        <v>12</v>
      </c>
      <c r="B123" s="3" t="s">
        <v>9</v>
      </c>
      <c r="C123" s="3" t="s">
        <v>15</v>
      </c>
      <c r="D123" s="3" t="s">
        <v>16</v>
      </c>
      <c r="E123" s="3" t="n">
        <v>2</v>
      </c>
      <c r="F123" s="3" t="n">
        <v>11.69</v>
      </c>
      <c r="G123" s="3" t="n">
        <v>2.31</v>
      </c>
    </row>
    <row r="124" customFormat="false" ht="15" hidden="false" customHeight="false" outlineLevel="0" collapsed="false">
      <c r="A124" s="4" t="s">
        <v>8</v>
      </c>
      <c r="B124" s="4" t="s">
        <v>9</v>
      </c>
      <c r="C124" s="4" t="s">
        <v>15</v>
      </c>
      <c r="D124" s="4" t="s">
        <v>16</v>
      </c>
      <c r="E124" s="4" t="n">
        <v>2</v>
      </c>
      <c r="F124" s="4" t="n">
        <v>13.42</v>
      </c>
      <c r="G124" s="4" t="n">
        <v>1.68</v>
      </c>
    </row>
    <row r="125" customFormat="false" ht="15" hidden="false" customHeight="false" outlineLevel="0" collapsed="false">
      <c r="A125" s="3" t="s">
        <v>12</v>
      </c>
      <c r="B125" s="3" t="s">
        <v>9</v>
      </c>
      <c r="C125" s="3" t="s">
        <v>15</v>
      </c>
      <c r="D125" s="3" t="s">
        <v>16</v>
      </c>
      <c r="E125" s="3" t="n">
        <v>2</v>
      </c>
      <c r="F125" s="3" t="n">
        <v>14.26</v>
      </c>
      <c r="G125" s="3" t="n">
        <v>2.5</v>
      </c>
    </row>
    <row r="126" customFormat="false" ht="15" hidden="false" customHeight="false" outlineLevel="0" collapsed="false">
      <c r="A126" s="4" t="s">
        <v>12</v>
      </c>
      <c r="B126" s="4" t="s">
        <v>9</v>
      </c>
      <c r="C126" s="4" t="s">
        <v>15</v>
      </c>
      <c r="D126" s="4" t="s">
        <v>16</v>
      </c>
      <c r="E126" s="4" t="n">
        <v>2</v>
      </c>
      <c r="F126" s="4" t="n">
        <v>15.95</v>
      </c>
      <c r="G126" s="4" t="n">
        <v>2</v>
      </c>
    </row>
    <row r="127" customFormat="false" ht="15" hidden="false" customHeight="false" outlineLevel="0" collapsed="false">
      <c r="A127" s="3" t="s">
        <v>8</v>
      </c>
      <c r="B127" s="3" t="s">
        <v>9</v>
      </c>
      <c r="C127" s="3" t="s">
        <v>15</v>
      </c>
      <c r="D127" s="3" t="s">
        <v>16</v>
      </c>
      <c r="E127" s="3" t="n">
        <v>2</v>
      </c>
      <c r="F127" s="3" t="n">
        <v>12.48</v>
      </c>
      <c r="G127" s="3" t="n">
        <v>2.52</v>
      </c>
    </row>
    <row r="128" customFormat="false" ht="15" hidden="false" customHeight="false" outlineLevel="0" collapsed="false">
      <c r="A128" s="4" t="s">
        <v>8</v>
      </c>
      <c r="B128" s="4" t="s">
        <v>9</v>
      </c>
      <c r="C128" s="4" t="s">
        <v>15</v>
      </c>
      <c r="D128" s="4" t="s">
        <v>16</v>
      </c>
      <c r="E128" s="4" t="n">
        <v>6</v>
      </c>
      <c r="F128" s="4" t="n">
        <v>29.8</v>
      </c>
      <c r="G128" s="4" t="n">
        <v>4.2</v>
      </c>
    </row>
    <row r="129" customFormat="false" ht="15" hidden="false" customHeight="false" outlineLevel="0" collapsed="false">
      <c r="A129" s="3" t="s">
        <v>12</v>
      </c>
      <c r="B129" s="3" t="s">
        <v>9</v>
      </c>
      <c r="C129" s="3" t="s">
        <v>15</v>
      </c>
      <c r="D129" s="3" t="s">
        <v>16</v>
      </c>
      <c r="E129" s="3" t="n">
        <v>2</v>
      </c>
      <c r="F129" s="3" t="n">
        <v>8.52</v>
      </c>
      <c r="G129" s="3" t="n">
        <v>1.48</v>
      </c>
    </row>
    <row r="130" customFormat="false" ht="15" hidden="false" customHeight="false" outlineLevel="0" collapsed="false">
      <c r="A130" s="4" t="s">
        <v>8</v>
      </c>
      <c r="B130" s="4" t="s">
        <v>9</v>
      </c>
      <c r="C130" s="4" t="s">
        <v>15</v>
      </c>
      <c r="D130" s="4" t="s">
        <v>16</v>
      </c>
      <c r="E130" s="4" t="n">
        <v>2</v>
      </c>
      <c r="F130" s="4" t="n">
        <v>14.52</v>
      </c>
      <c r="G130" s="4" t="n">
        <v>2</v>
      </c>
    </row>
    <row r="131" customFormat="false" ht="15" hidden="false" customHeight="false" outlineLevel="0" collapsed="false">
      <c r="A131" s="3" t="s">
        <v>8</v>
      </c>
      <c r="B131" s="3" t="s">
        <v>9</v>
      </c>
      <c r="C131" s="3" t="s">
        <v>15</v>
      </c>
      <c r="D131" s="3" t="s">
        <v>16</v>
      </c>
      <c r="E131" s="3" t="n">
        <v>2</v>
      </c>
      <c r="F131" s="3" t="n">
        <v>11.38</v>
      </c>
      <c r="G131" s="3" t="n">
        <v>2</v>
      </c>
    </row>
    <row r="132" customFormat="false" ht="15" hidden="false" customHeight="false" outlineLevel="0" collapsed="false">
      <c r="A132" s="4" t="s">
        <v>12</v>
      </c>
      <c r="B132" s="4" t="s">
        <v>9</v>
      </c>
      <c r="C132" s="4" t="s">
        <v>15</v>
      </c>
      <c r="D132" s="4" t="s">
        <v>16</v>
      </c>
      <c r="E132" s="4" t="n">
        <v>3</v>
      </c>
      <c r="F132" s="4" t="n">
        <v>22.82</v>
      </c>
      <c r="G132" s="4" t="n">
        <v>2.18</v>
      </c>
    </row>
    <row r="133" customFormat="false" ht="15" hidden="false" customHeight="false" outlineLevel="0" collapsed="false">
      <c r="A133" s="3" t="s">
        <v>12</v>
      </c>
      <c r="B133" s="3" t="s">
        <v>9</v>
      </c>
      <c r="C133" s="3" t="s">
        <v>15</v>
      </c>
      <c r="D133" s="3" t="s">
        <v>16</v>
      </c>
      <c r="E133" s="3" t="n">
        <v>2</v>
      </c>
      <c r="F133" s="3" t="n">
        <v>19.08</v>
      </c>
      <c r="G133" s="3" t="n">
        <v>1.5</v>
      </c>
    </row>
    <row r="134" customFormat="false" ht="15" hidden="false" customHeight="false" outlineLevel="0" collapsed="false">
      <c r="A134" s="4" t="s">
        <v>8</v>
      </c>
      <c r="B134" s="4" t="s">
        <v>9</v>
      </c>
      <c r="C134" s="4" t="s">
        <v>15</v>
      </c>
      <c r="D134" s="4" t="s">
        <v>16</v>
      </c>
      <c r="E134" s="4" t="n">
        <v>2</v>
      </c>
      <c r="F134" s="4" t="n">
        <v>20.27</v>
      </c>
      <c r="G134" s="4" t="n">
        <v>2.83</v>
      </c>
    </row>
    <row r="135" customFormat="false" ht="15" hidden="false" customHeight="false" outlineLevel="0" collapsed="false">
      <c r="A135" s="3" t="s">
        <v>8</v>
      </c>
      <c r="B135" s="3" t="s">
        <v>9</v>
      </c>
      <c r="C135" s="3" t="s">
        <v>15</v>
      </c>
      <c r="D135" s="3" t="s">
        <v>16</v>
      </c>
      <c r="E135" s="3" t="n">
        <v>2</v>
      </c>
      <c r="F135" s="3" t="n">
        <v>11.17</v>
      </c>
      <c r="G135" s="3" t="n">
        <v>1.5</v>
      </c>
    </row>
    <row r="136" customFormat="false" ht="15" hidden="false" customHeight="false" outlineLevel="0" collapsed="false">
      <c r="A136" s="4" t="s">
        <v>8</v>
      </c>
      <c r="B136" s="4" t="s">
        <v>9</v>
      </c>
      <c r="C136" s="4" t="s">
        <v>15</v>
      </c>
      <c r="D136" s="4" t="s">
        <v>16</v>
      </c>
      <c r="E136" s="4" t="n">
        <v>2</v>
      </c>
      <c r="F136" s="4" t="n">
        <v>12.26</v>
      </c>
      <c r="G136" s="4" t="n">
        <v>2</v>
      </c>
    </row>
    <row r="137" customFormat="false" ht="15" hidden="false" customHeight="false" outlineLevel="0" collapsed="false">
      <c r="A137" s="3" t="s">
        <v>8</v>
      </c>
      <c r="B137" s="3" t="s">
        <v>9</v>
      </c>
      <c r="C137" s="3" t="s">
        <v>15</v>
      </c>
      <c r="D137" s="3" t="s">
        <v>16</v>
      </c>
      <c r="E137" s="3" t="n">
        <v>2</v>
      </c>
      <c r="F137" s="3" t="n">
        <v>18.26</v>
      </c>
      <c r="G137" s="3" t="n">
        <v>3.25</v>
      </c>
    </row>
    <row r="138" customFormat="false" ht="15" hidden="false" customHeight="false" outlineLevel="0" collapsed="false">
      <c r="A138" s="4" t="s">
        <v>8</v>
      </c>
      <c r="B138" s="4" t="s">
        <v>9</v>
      </c>
      <c r="C138" s="4" t="s">
        <v>15</v>
      </c>
      <c r="D138" s="4" t="s">
        <v>16</v>
      </c>
      <c r="E138" s="4" t="n">
        <v>2</v>
      </c>
      <c r="F138" s="4" t="n">
        <v>8.51</v>
      </c>
      <c r="G138" s="4" t="n">
        <v>1.25</v>
      </c>
    </row>
    <row r="139" customFormat="false" ht="15" hidden="false" customHeight="false" outlineLevel="0" collapsed="false">
      <c r="A139" s="3" t="s">
        <v>8</v>
      </c>
      <c r="B139" s="3" t="s">
        <v>9</v>
      </c>
      <c r="C139" s="3" t="s">
        <v>15</v>
      </c>
      <c r="D139" s="3" t="s">
        <v>16</v>
      </c>
      <c r="E139" s="3" t="n">
        <v>2</v>
      </c>
      <c r="F139" s="3" t="n">
        <v>10.33</v>
      </c>
      <c r="G139" s="3" t="n">
        <v>2</v>
      </c>
    </row>
    <row r="140" customFormat="false" ht="15" hidden="false" customHeight="false" outlineLevel="0" collapsed="false">
      <c r="A140" s="4" t="s">
        <v>8</v>
      </c>
      <c r="B140" s="4" t="s">
        <v>9</v>
      </c>
      <c r="C140" s="4" t="s">
        <v>15</v>
      </c>
      <c r="D140" s="4" t="s">
        <v>16</v>
      </c>
      <c r="E140" s="4" t="n">
        <v>2</v>
      </c>
      <c r="F140" s="4" t="n">
        <v>14.15</v>
      </c>
      <c r="G140" s="4" t="n">
        <v>2</v>
      </c>
    </row>
    <row r="141" customFormat="false" ht="15" hidden="false" customHeight="false" outlineLevel="0" collapsed="false">
      <c r="A141" s="3" t="s">
        <v>12</v>
      </c>
      <c r="B141" s="3" t="s">
        <v>14</v>
      </c>
      <c r="C141" s="3" t="s">
        <v>15</v>
      </c>
      <c r="D141" s="3" t="s">
        <v>16</v>
      </c>
      <c r="E141" s="3" t="n">
        <v>2</v>
      </c>
      <c r="F141" s="3" t="n">
        <v>16</v>
      </c>
      <c r="G141" s="3" t="n">
        <v>2</v>
      </c>
    </row>
    <row r="142" customFormat="false" ht="15" hidden="false" customHeight="false" outlineLevel="0" collapsed="false">
      <c r="A142" s="4" t="s">
        <v>8</v>
      </c>
      <c r="B142" s="4" t="s">
        <v>9</v>
      </c>
      <c r="C142" s="4" t="s">
        <v>15</v>
      </c>
      <c r="D142" s="4" t="s">
        <v>16</v>
      </c>
      <c r="E142" s="4" t="n">
        <v>2</v>
      </c>
      <c r="F142" s="4" t="n">
        <v>13.16</v>
      </c>
      <c r="G142" s="4" t="n">
        <v>2.75</v>
      </c>
    </row>
    <row r="143" customFormat="false" ht="15" hidden="false" customHeight="false" outlineLevel="0" collapsed="false">
      <c r="A143" s="3" t="s">
        <v>8</v>
      </c>
      <c r="B143" s="3" t="s">
        <v>9</v>
      </c>
      <c r="C143" s="3" t="s">
        <v>15</v>
      </c>
      <c r="D143" s="3" t="s">
        <v>16</v>
      </c>
      <c r="E143" s="3" t="n">
        <v>2</v>
      </c>
      <c r="F143" s="3" t="n">
        <v>17.47</v>
      </c>
      <c r="G143" s="3" t="n">
        <v>3.5</v>
      </c>
    </row>
    <row r="144" customFormat="false" ht="15" hidden="false" customHeight="false" outlineLevel="0" collapsed="false">
      <c r="A144" s="4" t="s">
        <v>12</v>
      </c>
      <c r="B144" s="4" t="s">
        <v>9</v>
      </c>
      <c r="C144" s="4" t="s">
        <v>15</v>
      </c>
      <c r="D144" s="4" t="s">
        <v>16</v>
      </c>
      <c r="E144" s="4" t="n">
        <v>6</v>
      </c>
      <c r="F144" s="4" t="n">
        <v>34.3</v>
      </c>
      <c r="G144" s="4" t="n">
        <v>6.7</v>
      </c>
    </row>
    <row r="145" customFormat="false" ht="15" hidden="false" customHeight="false" outlineLevel="0" collapsed="false">
      <c r="A145" s="3" t="s">
        <v>12</v>
      </c>
      <c r="B145" s="3" t="s">
        <v>9</v>
      </c>
      <c r="C145" s="3" t="s">
        <v>15</v>
      </c>
      <c r="D145" s="3" t="s">
        <v>16</v>
      </c>
      <c r="E145" s="3" t="n">
        <v>5</v>
      </c>
      <c r="F145" s="3" t="n">
        <v>41.19</v>
      </c>
      <c r="G145" s="3" t="n">
        <v>5</v>
      </c>
    </row>
    <row r="146" customFormat="false" ht="15" hidden="false" customHeight="false" outlineLevel="0" collapsed="false">
      <c r="A146" s="4" t="s">
        <v>8</v>
      </c>
      <c r="B146" s="4" t="s">
        <v>9</v>
      </c>
      <c r="C146" s="4" t="s">
        <v>15</v>
      </c>
      <c r="D146" s="4" t="s">
        <v>16</v>
      </c>
      <c r="E146" s="4" t="n">
        <v>6</v>
      </c>
      <c r="F146" s="4" t="n">
        <v>27.05</v>
      </c>
      <c r="G146" s="4" t="n">
        <v>5</v>
      </c>
    </row>
    <row r="147" customFormat="false" ht="15" hidden="false" customHeight="false" outlineLevel="0" collapsed="false">
      <c r="A147" s="3" t="s">
        <v>8</v>
      </c>
      <c r="B147" s="3" t="s">
        <v>9</v>
      </c>
      <c r="C147" s="3" t="s">
        <v>15</v>
      </c>
      <c r="D147" s="3" t="s">
        <v>16</v>
      </c>
      <c r="E147" s="3" t="n">
        <v>2</v>
      </c>
      <c r="F147" s="3" t="n">
        <v>16.43</v>
      </c>
      <c r="G147" s="3" t="n">
        <v>2.3</v>
      </c>
    </row>
    <row r="148" customFormat="false" ht="15" hidden="false" customHeight="false" outlineLevel="0" collapsed="false">
      <c r="A148" s="4" t="s">
        <v>8</v>
      </c>
      <c r="B148" s="4" t="s">
        <v>9</v>
      </c>
      <c r="C148" s="4" t="s">
        <v>15</v>
      </c>
      <c r="D148" s="4" t="s">
        <v>16</v>
      </c>
      <c r="E148" s="4" t="n">
        <v>2</v>
      </c>
      <c r="F148" s="4" t="n">
        <v>8.35</v>
      </c>
      <c r="G148" s="4" t="n">
        <v>1.5</v>
      </c>
    </row>
    <row r="149" customFormat="false" ht="15" hidden="false" customHeight="false" outlineLevel="0" collapsed="false">
      <c r="A149" s="3" t="s">
        <v>8</v>
      </c>
      <c r="B149" s="3" t="s">
        <v>9</v>
      </c>
      <c r="C149" s="3" t="s">
        <v>15</v>
      </c>
      <c r="D149" s="3" t="s">
        <v>16</v>
      </c>
      <c r="E149" s="3" t="n">
        <v>3</v>
      </c>
      <c r="F149" s="3" t="n">
        <v>18.64</v>
      </c>
      <c r="G149" s="3" t="n">
        <v>1.36</v>
      </c>
    </row>
    <row r="150" customFormat="false" ht="15" hidden="false" customHeight="false" outlineLevel="0" collapsed="false">
      <c r="A150" s="4" t="s">
        <v>8</v>
      </c>
      <c r="B150" s="4" t="s">
        <v>9</v>
      </c>
      <c r="C150" s="4" t="s">
        <v>15</v>
      </c>
      <c r="D150" s="4" t="s">
        <v>16</v>
      </c>
      <c r="E150" s="4" t="n">
        <v>2</v>
      </c>
      <c r="F150" s="4" t="n">
        <v>11.87</v>
      </c>
      <c r="G150" s="4" t="n">
        <v>1.63</v>
      </c>
    </row>
    <row r="151" customFormat="false" ht="15" hidden="false" customHeight="false" outlineLevel="0" collapsed="false">
      <c r="A151" s="3" t="s">
        <v>12</v>
      </c>
      <c r="B151" s="3" t="s">
        <v>9</v>
      </c>
      <c r="C151" s="3" t="s">
        <v>15</v>
      </c>
      <c r="D151" s="3" t="s">
        <v>16</v>
      </c>
      <c r="E151" s="3" t="n">
        <v>2</v>
      </c>
      <c r="F151" s="3" t="n">
        <v>9.78</v>
      </c>
      <c r="G151" s="3" t="n">
        <v>1.73</v>
      </c>
    </row>
    <row r="152" customFormat="false" ht="15" hidden="false" customHeight="false" outlineLevel="0" collapsed="false">
      <c r="A152" s="4" t="s">
        <v>12</v>
      </c>
      <c r="B152" s="4" t="s">
        <v>9</v>
      </c>
      <c r="C152" s="4" t="s">
        <v>15</v>
      </c>
      <c r="D152" s="4" t="s">
        <v>16</v>
      </c>
      <c r="E152" s="4" t="n">
        <v>2</v>
      </c>
      <c r="F152" s="4" t="n">
        <v>7.51</v>
      </c>
      <c r="G152" s="4" t="n">
        <v>2</v>
      </c>
    </row>
    <row r="153" customFormat="false" ht="15" hidden="false" customHeight="false" outlineLevel="0" collapsed="false">
      <c r="A153" s="3" t="s">
        <v>12</v>
      </c>
      <c r="B153" s="3" t="s">
        <v>9</v>
      </c>
      <c r="C153" s="3" t="s">
        <v>10</v>
      </c>
      <c r="D153" s="3" t="s">
        <v>11</v>
      </c>
      <c r="E153" s="3" t="n">
        <v>2</v>
      </c>
      <c r="F153" s="3" t="n">
        <v>14.07</v>
      </c>
      <c r="G153" s="3" t="n">
        <v>2.5</v>
      </c>
    </row>
    <row r="154" customFormat="false" ht="15" hidden="false" customHeight="false" outlineLevel="0" collapsed="false">
      <c r="A154" s="4" t="s">
        <v>12</v>
      </c>
      <c r="B154" s="4" t="s">
        <v>9</v>
      </c>
      <c r="C154" s="4" t="s">
        <v>10</v>
      </c>
      <c r="D154" s="4" t="s">
        <v>11</v>
      </c>
      <c r="E154" s="4" t="n">
        <v>2</v>
      </c>
      <c r="F154" s="4" t="n">
        <v>13.13</v>
      </c>
      <c r="G154" s="4" t="n">
        <v>2</v>
      </c>
    </row>
    <row r="155" customFormat="false" ht="15" hidden="false" customHeight="false" outlineLevel="0" collapsed="false">
      <c r="A155" s="3" t="s">
        <v>12</v>
      </c>
      <c r="B155" s="3" t="s">
        <v>9</v>
      </c>
      <c r="C155" s="3" t="s">
        <v>10</v>
      </c>
      <c r="D155" s="3" t="s">
        <v>11</v>
      </c>
      <c r="E155" s="3" t="n">
        <v>3</v>
      </c>
      <c r="F155" s="3" t="n">
        <v>17.26</v>
      </c>
      <c r="G155" s="3" t="n">
        <v>2.74</v>
      </c>
    </row>
    <row r="156" customFormat="false" ht="15" hidden="false" customHeight="false" outlineLevel="0" collapsed="false">
      <c r="A156" s="4" t="s">
        <v>12</v>
      </c>
      <c r="B156" s="4" t="s">
        <v>9</v>
      </c>
      <c r="C156" s="4" t="s">
        <v>10</v>
      </c>
      <c r="D156" s="4" t="s">
        <v>11</v>
      </c>
      <c r="E156" s="4" t="n">
        <v>4</v>
      </c>
      <c r="F156" s="4" t="n">
        <v>24.55</v>
      </c>
      <c r="G156" s="4" t="n">
        <v>2</v>
      </c>
    </row>
    <row r="157" customFormat="false" ht="15" hidden="false" customHeight="false" outlineLevel="0" collapsed="false">
      <c r="A157" s="3" t="s">
        <v>12</v>
      </c>
      <c r="B157" s="3" t="s">
        <v>9</v>
      </c>
      <c r="C157" s="3" t="s">
        <v>10</v>
      </c>
      <c r="D157" s="3" t="s">
        <v>11</v>
      </c>
      <c r="E157" s="3" t="n">
        <v>4</v>
      </c>
      <c r="F157" s="3" t="n">
        <v>19.77</v>
      </c>
      <c r="G157" s="3" t="n">
        <v>2</v>
      </c>
    </row>
    <row r="158" customFormat="false" ht="15" hidden="false" customHeight="false" outlineLevel="0" collapsed="false">
      <c r="A158" s="4" t="s">
        <v>8</v>
      </c>
      <c r="B158" s="4" t="s">
        <v>9</v>
      </c>
      <c r="C158" s="4" t="s">
        <v>10</v>
      </c>
      <c r="D158" s="4" t="s">
        <v>11</v>
      </c>
      <c r="E158" s="4" t="n">
        <v>5</v>
      </c>
      <c r="F158" s="4" t="n">
        <v>29.85</v>
      </c>
      <c r="G158" s="4" t="n">
        <v>5.14</v>
      </c>
    </row>
    <row r="159" customFormat="false" ht="15" hidden="false" customHeight="false" outlineLevel="0" collapsed="false">
      <c r="A159" s="3" t="s">
        <v>12</v>
      </c>
      <c r="B159" s="3" t="s">
        <v>9</v>
      </c>
      <c r="C159" s="3" t="s">
        <v>10</v>
      </c>
      <c r="D159" s="3" t="s">
        <v>11</v>
      </c>
      <c r="E159" s="3" t="n">
        <v>6</v>
      </c>
      <c r="F159" s="3" t="n">
        <v>48.17</v>
      </c>
      <c r="G159" s="3" t="n">
        <v>5</v>
      </c>
    </row>
    <row r="160" customFormat="false" ht="15" hidden="false" customHeight="false" outlineLevel="0" collapsed="false">
      <c r="A160" s="4" t="s">
        <v>8</v>
      </c>
      <c r="B160" s="4" t="s">
        <v>9</v>
      </c>
      <c r="C160" s="4" t="s">
        <v>10</v>
      </c>
      <c r="D160" s="4" t="s">
        <v>11</v>
      </c>
      <c r="E160" s="4" t="n">
        <v>4</v>
      </c>
      <c r="F160" s="4" t="n">
        <v>25</v>
      </c>
      <c r="G160" s="4" t="n">
        <v>3.75</v>
      </c>
    </row>
    <row r="161" customFormat="false" ht="15" hidden="false" customHeight="false" outlineLevel="0" collapsed="false">
      <c r="A161" s="3" t="s">
        <v>8</v>
      </c>
      <c r="B161" s="3" t="s">
        <v>9</v>
      </c>
      <c r="C161" s="3" t="s">
        <v>10</v>
      </c>
      <c r="D161" s="3" t="s">
        <v>11</v>
      </c>
      <c r="E161" s="3" t="n">
        <v>2</v>
      </c>
      <c r="F161" s="3" t="n">
        <v>13.39</v>
      </c>
      <c r="G161" s="3" t="n">
        <v>2.61</v>
      </c>
    </row>
    <row r="162" customFormat="false" ht="15" hidden="false" customHeight="false" outlineLevel="0" collapsed="false">
      <c r="A162" s="4" t="s">
        <v>12</v>
      </c>
      <c r="B162" s="4" t="s">
        <v>9</v>
      </c>
      <c r="C162" s="4" t="s">
        <v>10</v>
      </c>
      <c r="D162" s="4" t="s">
        <v>11</v>
      </c>
      <c r="E162" s="4" t="n">
        <v>4</v>
      </c>
      <c r="F162" s="4" t="n">
        <v>16.49</v>
      </c>
      <c r="G162" s="4" t="n">
        <v>2</v>
      </c>
    </row>
    <row r="163" customFormat="false" ht="15" hidden="false" customHeight="false" outlineLevel="0" collapsed="false">
      <c r="A163" s="3" t="s">
        <v>12</v>
      </c>
      <c r="B163" s="3" t="s">
        <v>9</v>
      </c>
      <c r="C163" s="3" t="s">
        <v>10</v>
      </c>
      <c r="D163" s="3" t="s">
        <v>11</v>
      </c>
      <c r="E163" s="3" t="n">
        <v>4</v>
      </c>
      <c r="F163" s="3" t="n">
        <v>21.5</v>
      </c>
      <c r="G163" s="3" t="n">
        <v>3.5</v>
      </c>
    </row>
    <row r="164" customFormat="false" ht="15" hidden="false" customHeight="false" outlineLevel="0" collapsed="false">
      <c r="A164" s="4" t="s">
        <v>12</v>
      </c>
      <c r="B164" s="4" t="s">
        <v>9</v>
      </c>
      <c r="C164" s="4" t="s">
        <v>10</v>
      </c>
      <c r="D164" s="4" t="s">
        <v>11</v>
      </c>
      <c r="E164" s="4" t="n">
        <v>2</v>
      </c>
      <c r="F164" s="4" t="n">
        <v>12.66</v>
      </c>
      <c r="G164" s="4" t="n">
        <v>2.5</v>
      </c>
    </row>
    <row r="165" customFormat="false" ht="15" hidden="false" customHeight="false" outlineLevel="0" collapsed="false">
      <c r="A165" s="3" t="s">
        <v>8</v>
      </c>
      <c r="B165" s="3" t="s">
        <v>9</v>
      </c>
      <c r="C165" s="3" t="s">
        <v>10</v>
      </c>
      <c r="D165" s="3" t="s">
        <v>11</v>
      </c>
      <c r="E165" s="3" t="n">
        <v>3</v>
      </c>
      <c r="F165" s="3" t="n">
        <v>16.21</v>
      </c>
      <c r="G165" s="3" t="n">
        <v>2</v>
      </c>
    </row>
    <row r="166" customFormat="false" ht="15" hidden="false" customHeight="false" outlineLevel="0" collapsed="false">
      <c r="A166" s="4" t="s">
        <v>12</v>
      </c>
      <c r="B166" s="4" t="s">
        <v>9</v>
      </c>
      <c r="C166" s="4" t="s">
        <v>10</v>
      </c>
      <c r="D166" s="4" t="s">
        <v>11</v>
      </c>
      <c r="E166" s="4" t="n">
        <v>2</v>
      </c>
      <c r="F166" s="4" t="n">
        <v>13.81</v>
      </c>
      <c r="G166" s="4" t="n">
        <v>2</v>
      </c>
    </row>
    <row r="167" customFormat="false" ht="15" hidden="false" customHeight="false" outlineLevel="0" collapsed="false">
      <c r="A167" s="3" t="s">
        <v>8</v>
      </c>
      <c r="B167" s="3" t="s">
        <v>14</v>
      </c>
      <c r="C167" s="3" t="s">
        <v>10</v>
      </c>
      <c r="D167" s="3" t="s">
        <v>11</v>
      </c>
      <c r="E167" s="3" t="n">
        <v>2</v>
      </c>
      <c r="F167" s="3" t="n">
        <v>17.51</v>
      </c>
      <c r="G167" s="3" t="n">
        <v>3</v>
      </c>
    </row>
    <row r="168" customFormat="false" ht="15" hidden="false" customHeight="false" outlineLevel="0" collapsed="false">
      <c r="A168" s="4" t="s">
        <v>12</v>
      </c>
      <c r="B168" s="4" t="s">
        <v>9</v>
      </c>
      <c r="C168" s="4" t="s">
        <v>10</v>
      </c>
      <c r="D168" s="4" t="s">
        <v>11</v>
      </c>
      <c r="E168" s="4" t="n">
        <v>3</v>
      </c>
      <c r="F168" s="4" t="n">
        <v>24.52</v>
      </c>
      <c r="G168" s="4" t="n">
        <v>3.48</v>
      </c>
    </row>
    <row r="169" customFormat="false" ht="15" hidden="false" customHeight="false" outlineLevel="0" collapsed="false">
      <c r="A169" s="3" t="s">
        <v>12</v>
      </c>
      <c r="B169" s="3" t="s">
        <v>9</v>
      </c>
      <c r="C169" s="3" t="s">
        <v>10</v>
      </c>
      <c r="D169" s="3" t="s">
        <v>11</v>
      </c>
      <c r="E169" s="3" t="n">
        <v>2</v>
      </c>
      <c r="F169" s="3" t="n">
        <v>20.76</v>
      </c>
      <c r="G169" s="3" t="n">
        <v>2.24</v>
      </c>
    </row>
    <row r="170" customFormat="false" ht="15" hidden="false" customHeight="false" outlineLevel="0" collapsed="false">
      <c r="A170" s="4" t="s">
        <v>12</v>
      </c>
      <c r="B170" s="4" t="s">
        <v>9</v>
      </c>
      <c r="C170" s="4" t="s">
        <v>10</v>
      </c>
      <c r="D170" s="4" t="s">
        <v>11</v>
      </c>
      <c r="E170" s="4" t="n">
        <v>4</v>
      </c>
      <c r="F170" s="4" t="n">
        <v>31.71</v>
      </c>
      <c r="G170" s="4" t="n">
        <v>4.5</v>
      </c>
    </row>
    <row r="171" customFormat="false" ht="15" hidden="false" customHeight="false" outlineLevel="0" collapsed="false">
      <c r="A171" s="3" t="s">
        <v>8</v>
      </c>
      <c r="B171" s="3" t="s">
        <v>14</v>
      </c>
      <c r="C171" s="3" t="s">
        <v>13</v>
      </c>
      <c r="D171" s="3" t="s">
        <v>11</v>
      </c>
      <c r="E171" s="3" t="n">
        <v>2</v>
      </c>
      <c r="F171" s="3" t="n">
        <v>10.59</v>
      </c>
      <c r="G171" s="3" t="n">
        <v>1.61</v>
      </c>
    </row>
    <row r="172" customFormat="false" ht="15" hidden="false" customHeight="false" outlineLevel="0" collapsed="false">
      <c r="A172" s="4" t="s">
        <v>8</v>
      </c>
      <c r="B172" s="4" t="s">
        <v>14</v>
      </c>
      <c r="C172" s="4" t="s">
        <v>13</v>
      </c>
      <c r="D172" s="4" t="s">
        <v>11</v>
      </c>
      <c r="E172" s="4" t="n">
        <v>2</v>
      </c>
      <c r="F172" s="4" t="n">
        <v>10.63</v>
      </c>
      <c r="G172" s="4" t="n">
        <v>2</v>
      </c>
    </row>
    <row r="173" customFormat="false" ht="15" hidden="false" customHeight="false" outlineLevel="0" collapsed="false">
      <c r="A173" s="3" t="s">
        <v>12</v>
      </c>
      <c r="B173" s="3" t="s">
        <v>14</v>
      </c>
      <c r="C173" s="3" t="s">
        <v>13</v>
      </c>
      <c r="D173" s="3" t="s">
        <v>11</v>
      </c>
      <c r="E173" s="3" t="n">
        <v>3</v>
      </c>
      <c r="F173" s="3" t="n">
        <v>50.81</v>
      </c>
      <c r="G173" s="3" t="n">
        <v>10</v>
      </c>
    </row>
    <row r="174" customFormat="false" ht="15" hidden="false" customHeight="false" outlineLevel="0" collapsed="false">
      <c r="A174" s="4" t="s">
        <v>12</v>
      </c>
      <c r="B174" s="4" t="s">
        <v>14</v>
      </c>
      <c r="C174" s="4" t="s">
        <v>13</v>
      </c>
      <c r="D174" s="4" t="s">
        <v>11</v>
      </c>
      <c r="E174" s="4" t="n">
        <v>2</v>
      </c>
      <c r="F174" s="4" t="n">
        <v>15.81</v>
      </c>
      <c r="G174" s="4" t="n">
        <v>3.16</v>
      </c>
    </row>
    <row r="175" customFormat="false" ht="15" hidden="false" customHeight="false" outlineLevel="0" collapsed="false">
      <c r="A175" s="3" t="s">
        <v>12</v>
      </c>
      <c r="B175" s="3" t="s">
        <v>14</v>
      </c>
      <c r="C175" s="3" t="s">
        <v>10</v>
      </c>
      <c r="D175" s="3" t="s">
        <v>11</v>
      </c>
      <c r="E175" s="3" t="n">
        <v>2</v>
      </c>
      <c r="F175" s="3" t="n">
        <v>7.25</v>
      </c>
      <c r="G175" s="3" t="n">
        <v>5.15</v>
      </c>
    </row>
    <row r="176" customFormat="false" ht="15" hidden="false" customHeight="false" outlineLevel="0" collapsed="false">
      <c r="A176" s="4" t="s">
        <v>12</v>
      </c>
      <c r="B176" s="4" t="s">
        <v>14</v>
      </c>
      <c r="C176" s="4" t="s">
        <v>10</v>
      </c>
      <c r="D176" s="4" t="s">
        <v>11</v>
      </c>
      <c r="E176" s="4" t="n">
        <v>2</v>
      </c>
      <c r="F176" s="4" t="n">
        <v>31.85</v>
      </c>
      <c r="G176" s="4" t="n">
        <v>3.18</v>
      </c>
    </row>
    <row r="177" customFormat="false" ht="15" hidden="false" customHeight="false" outlineLevel="0" collapsed="false">
      <c r="A177" s="3" t="s">
        <v>12</v>
      </c>
      <c r="B177" s="3" t="s">
        <v>14</v>
      </c>
      <c r="C177" s="3" t="s">
        <v>10</v>
      </c>
      <c r="D177" s="3" t="s">
        <v>11</v>
      </c>
      <c r="E177" s="3" t="n">
        <v>2</v>
      </c>
      <c r="F177" s="3" t="n">
        <v>16.82</v>
      </c>
      <c r="G177" s="3" t="n">
        <v>4</v>
      </c>
    </row>
    <row r="178" customFormat="false" ht="15" hidden="false" customHeight="false" outlineLevel="0" collapsed="false">
      <c r="A178" s="4" t="s">
        <v>12</v>
      </c>
      <c r="B178" s="4" t="s">
        <v>14</v>
      </c>
      <c r="C178" s="4" t="s">
        <v>10</v>
      </c>
      <c r="D178" s="4" t="s">
        <v>11</v>
      </c>
      <c r="E178" s="4" t="n">
        <v>2</v>
      </c>
      <c r="F178" s="4" t="n">
        <v>32.9</v>
      </c>
      <c r="G178" s="4" t="n">
        <v>3.11</v>
      </c>
    </row>
    <row r="179" customFormat="false" ht="15" hidden="false" customHeight="false" outlineLevel="0" collapsed="false">
      <c r="A179" s="3" t="s">
        <v>12</v>
      </c>
      <c r="B179" s="3" t="s">
        <v>14</v>
      </c>
      <c r="C179" s="3" t="s">
        <v>10</v>
      </c>
      <c r="D179" s="3" t="s">
        <v>11</v>
      </c>
      <c r="E179" s="3" t="n">
        <v>2</v>
      </c>
      <c r="F179" s="3" t="n">
        <v>17.89</v>
      </c>
      <c r="G179" s="3" t="n">
        <v>2</v>
      </c>
    </row>
    <row r="180" customFormat="false" ht="15" hidden="false" customHeight="false" outlineLevel="0" collapsed="false">
      <c r="A180" s="4" t="s">
        <v>12</v>
      </c>
      <c r="B180" s="4" t="s">
        <v>14</v>
      </c>
      <c r="C180" s="4" t="s">
        <v>10</v>
      </c>
      <c r="D180" s="4" t="s">
        <v>11</v>
      </c>
      <c r="E180" s="4" t="n">
        <v>2</v>
      </c>
      <c r="F180" s="4" t="n">
        <v>14.48</v>
      </c>
      <c r="G180" s="4" t="n">
        <v>2</v>
      </c>
    </row>
    <row r="181" customFormat="false" ht="15" hidden="false" customHeight="false" outlineLevel="0" collapsed="false">
      <c r="A181" s="3" t="s">
        <v>8</v>
      </c>
      <c r="B181" s="3" t="s">
        <v>14</v>
      </c>
      <c r="C181" s="3" t="s">
        <v>10</v>
      </c>
      <c r="D181" s="3" t="s">
        <v>11</v>
      </c>
      <c r="E181" s="3" t="n">
        <v>2</v>
      </c>
      <c r="F181" s="3" t="n">
        <v>9.6</v>
      </c>
      <c r="G181" s="3" t="n">
        <v>4</v>
      </c>
    </row>
    <row r="182" customFormat="false" ht="15" hidden="false" customHeight="false" outlineLevel="0" collapsed="false">
      <c r="A182" s="4" t="s">
        <v>12</v>
      </c>
      <c r="B182" s="4" t="s">
        <v>14</v>
      </c>
      <c r="C182" s="4" t="s">
        <v>10</v>
      </c>
      <c r="D182" s="4" t="s">
        <v>11</v>
      </c>
      <c r="E182" s="4" t="n">
        <v>2</v>
      </c>
      <c r="F182" s="4" t="n">
        <v>34.63</v>
      </c>
      <c r="G182" s="4" t="n">
        <v>3.55</v>
      </c>
    </row>
    <row r="183" customFormat="false" ht="15" hidden="false" customHeight="false" outlineLevel="0" collapsed="false">
      <c r="A183" s="3" t="s">
        <v>12</v>
      </c>
      <c r="B183" s="3" t="s">
        <v>14</v>
      </c>
      <c r="C183" s="3" t="s">
        <v>10</v>
      </c>
      <c r="D183" s="3" t="s">
        <v>11</v>
      </c>
      <c r="E183" s="3" t="n">
        <v>4</v>
      </c>
      <c r="F183" s="3" t="n">
        <v>34.65</v>
      </c>
      <c r="G183" s="3" t="n">
        <v>3.68</v>
      </c>
    </row>
    <row r="184" customFormat="false" ht="15" hidden="false" customHeight="false" outlineLevel="0" collapsed="false">
      <c r="A184" s="4" t="s">
        <v>12</v>
      </c>
      <c r="B184" s="4" t="s">
        <v>14</v>
      </c>
      <c r="C184" s="4" t="s">
        <v>10</v>
      </c>
      <c r="D184" s="4" t="s">
        <v>11</v>
      </c>
      <c r="E184" s="4" t="n">
        <v>2</v>
      </c>
      <c r="F184" s="4" t="n">
        <v>23.33</v>
      </c>
      <c r="G184" s="4" t="n">
        <v>5.65</v>
      </c>
    </row>
    <row r="185" customFormat="false" ht="15" hidden="false" customHeight="false" outlineLevel="0" collapsed="false">
      <c r="A185" s="3" t="s">
        <v>12</v>
      </c>
      <c r="B185" s="3" t="s">
        <v>14</v>
      </c>
      <c r="C185" s="3" t="s">
        <v>10</v>
      </c>
      <c r="D185" s="3" t="s">
        <v>11</v>
      </c>
      <c r="E185" s="3" t="n">
        <v>3</v>
      </c>
      <c r="F185" s="3" t="n">
        <v>45.35</v>
      </c>
      <c r="G185" s="3" t="n">
        <v>3.5</v>
      </c>
    </row>
    <row r="186" customFormat="false" ht="15" hidden="false" customHeight="false" outlineLevel="0" collapsed="false">
      <c r="A186" s="4" t="s">
        <v>12</v>
      </c>
      <c r="B186" s="4" t="s">
        <v>14</v>
      </c>
      <c r="C186" s="4" t="s">
        <v>10</v>
      </c>
      <c r="D186" s="4" t="s">
        <v>11</v>
      </c>
      <c r="E186" s="4" t="n">
        <v>4</v>
      </c>
      <c r="F186" s="4" t="n">
        <v>23.17</v>
      </c>
      <c r="G186" s="4" t="n">
        <v>6.5</v>
      </c>
    </row>
    <row r="187" customFormat="false" ht="15" hidden="false" customHeight="false" outlineLevel="0" collapsed="false">
      <c r="A187" s="3" t="s">
        <v>12</v>
      </c>
      <c r="B187" s="3" t="s">
        <v>14</v>
      </c>
      <c r="C187" s="3" t="s">
        <v>10</v>
      </c>
      <c r="D187" s="3" t="s">
        <v>11</v>
      </c>
      <c r="E187" s="3" t="n">
        <v>2</v>
      </c>
      <c r="F187" s="3" t="n">
        <v>40.55</v>
      </c>
      <c r="G187" s="3" t="n">
        <v>3</v>
      </c>
    </row>
    <row r="188" customFormat="false" ht="15" hidden="false" customHeight="false" outlineLevel="0" collapsed="false">
      <c r="A188" s="4" t="s">
        <v>12</v>
      </c>
      <c r="B188" s="4" t="s">
        <v>9</v>
      </c>
      <c r="C188" s="4" t="s">
        <v>10</v>
      </c>
      <c r="D188" s="4" t="s">
        <v>11</v>
      </c>
      <c r="E188" s="4" t="n">
        <v>5</v>
      </c>
      <c r="F188" s="4" t="n">
        <v>20.69</v>
      </c>
      <c r="G188" s="4" t="n">
        <v>5</v>
      </c>
    </row>
    <row r="189" customFormat="false" ht="15" hidden="false" customHeight="false" outlineLevel="0" collapsed="false">
      <c r="A189" s="3" t="s">
        <v>8</v>
      </c>
      <c r="B189" s="3" t="s">
        <v>14</v>
      </c>
      <c r="C189" s="3" t="s">
        <v>10</v>
      </c>
      <c r="D189" s="3" t="s">
        <v>11</v>
      </c>
      <c r="E189" s="3" t="n">
        <v>3</v>
      </c>
      <c r="F189" s="3" t="n">
        <v>20.9</v>
      </c>
      <c r="G189" s="3" t="n">
        <v>3.5</v>
      </c>
    </row>
    <row r="190" customFormat="false" ht="15" hidden="false" customHeight="false" outlineLevel="0" collapsed="false">
      <c r="A190" s="4" t="s">
        <v>12</v>
      </c>
      <c r="B190" s="4" t="s">
        <v>14</v>
      </c>
      <c r="C190" s="4" t="s">
        <v>10</v>
      </c>
      <c r="D190" s="4" t="s">
        <v>11</v>
      </c>
      <c r="E190" s="4" t="n">
        <v>5</v>
      </c>
      <c r="F190" s="4" t="n">
        <v>30.46</v>
      </c>
      <c r="G190" s="4" t="n">
        <v>2</v>
      </c>
    </row>
    <row r="191" customFormat="false" ht="15" hidden="false" customHeight="false" outlineLevel="0" collapsed="false">
      <c r="A191" s="3" t="s">
        <v>8</v>
      </c>
      <c r="B191" s="3" t="s">
        <v>14</v>
      </c>
      <c r="C191" s="3" t="s">
        <v>10</v>
      </c>
      <c r="D191" s="3" t="s">
        <v>11</v>
      </c>
      <c r="E191" s="3" t="n">
        <v>3</v>
      </c>
      <c r="F191" s="3" t="n">
        <v>18.15</v>
      </c>
      <c r="G191" s="3" t="n">
        <v>3.5</v>
      </c>
    </row>
    <row r="192" customFormat="false" ht="15" hidden="false" customHeight="false" outlineLevel="0" collapsed="false">
      <c r="A192" s="4" t="s">
        <v>12</v>
      </c>
      <c r="B192" s="4" t="s">
        <v>14</v>
      </c>
      <c r="C192" s="4" t="s">
        <v>10</v>
      </c>
      <c r="D192" s="4" t="s">
        <v>11</v>
      </c>
      <c r="E192" s="4" t="n">
        <v>3</v>
      </c>
      <c r="F192" s="4" t="n">
        <v>23.1</v>
      </c>
      <c r="G192" s="4" t="n">
        <v>4</v>
      </c>
    </row>
    <row r="193" customFormat="false" ht="15" hidden="false" customHeight="false" outlineLevel="0" collapsed="false">
      <c r="A193" s="3" t="s">
        <v>12</v>
      </c>
      <c r="B193" s="3" t="s">
        <v>14</v>
      </c>
      <c r="C193" s="3" t="s">
        <v>10</v>
      </c>
      <c r="D193" s="3" t="s">
        <v>11</v>
      </c>
      <c r="E193" s="3" t="n">
        <v>2</v>
      </c>
      <c r="F193" s="3" t="n">
        <v>15.69</v>
      </c>
      <c r="G193" s="3" t="n">
        <v>1.5</v>
      </c>
    </row>
    <row r="194" customFormat="false" ht="15" hidden="false" customHeight="false" outlineLevel="0" collapsed="false">
      <c r="A194" s="4" t="s">
        <v>8</v>
      </c>
      <c r="B194" s="4" t="s">
        <v>14</v>
      </c>
      <c r="C194" s="4" t="s">
        <v>15</v>
      </c>
      <c r="D194" s="4" t="s">
        <v>16</v>
      </c>
      <c r="E194" s="4" t="n">
        <v>2</v>
      </c>
      <c r="F194" s="4" t="n">
        <v>19.81</v>
      </c>
      <c r="G194" s="4" t="n">
        <v>4.19</v>
      </c>
    </row>
    <row r="195" customFormat="false" ht="15" hidden="false" customHeight="false" outlineLevel="0" collapsed="false">
      <c r="A195" s="3" t="s">
        <v>12</v>
      </c>
      <c r="B195" s="3" t="s">
        <v>14</v>
      </c>
      <c r="C195" s="3" t="s">
        <v>15</v>
      </c>
      <c r="D195" s="3" t="s">
        <v>16</v>
      </c>
      <c r="E195" s="3" t="n">
        <v>2</v>
      </c>
      <c r="F195" s="3" t="n">
        <v>28.44</v>
      </c>
      <c r="G195" s="3" t="n">
        <v>2.56</v>
      </c>
    </row>
    <row r="196" customFormat="false" ht="15" hidden="false" customHeight="false" outlineLevel="0" collapsed="false">
      <c r="A196" s="4" t="s">
        <v>12</v>
      </c>
      <c r="B196" s="4" t="s">
        <v>14</v>
      </c>
      <c r="C196" s="4" t="s">
        <v>15</v>
      </c>
      <c r="D196" s="4" t="s">
        <v>16</v>
      </c>
      <c r="E196" s="4" t="n">
        <v>2</v>
      </c>
      <c r="F196" s="4" t="n">
        <v>15.48</v>
      </c>
      <c r="G196" s="4" t="n">
        <v>2.02</v>
      </c>
    </row>
    <row r="197" customFormat="false" ht="15" hidden="false" customHeight="false" outlineLevel="0" collapsed="false">
      <c r="A197" s="3" t="s">
        <v>12</v>
      </c>
      <c r="B197" s="3" t="s">
        <v>14</v>
      </c>
      <c r="C197" s="3" t="s">
        <v>15</v>
      </c>
      <c r="D197" s="3" t="s">
        <v>16</v>
      </c>
      <c r="E197" s="3" t="n">
        <v>2</v>
      </c>
      <c r="F197" s="3" t="n">
        <v>16.58</v>
      </c>
      <c r="G197" s="3" t="n">
        <v>4</v>
      </c>
    </row>
    <row r="198" customFormat="false" ht="15" hidden="false" customHeight="false" outlineLevel="0" collapsed="false">
      <c r="A198" s="4" t="s">
        <v>12</v>
      </c>
      <c r="B198" s="4" t="s">
        <v>9</v>
      </c>
      <c r="C198" s="4" t="s">
        <v>15</v>
      </c>
      <c r="D198" s="4" t="s">
        <v>16</v>
      </c>
      <c r="E198" s="4" t="n">
        <v>2</v>
      </c>
      <c r="F198" s="4" t="n">
        <v>7.56</v>
      </c>
      <c r="G198" s="4" t="n">
        <v>1.44</v>
      </c>
    </row>
    <row r="199" customFormat="false" ht="15" hidden="false" customHeight="false" outlineLevel="0" collapsed="false">
      <c r="A199" s="3" t="s">
        <v>12</v>
      </c>
      <c r="B199" s="3" t="s">
        <v>14</v>
      </c>
      <c r="C199" s="3" t="s">
        <v>15</v>
      </c>
      <c r="D199" s="3" t="s">
        <v>16</v>
      </c>
      <c r="E199" s="3" t="n">
        <v>2</v>
      </c>
      <c r="F199" s="3" t="n">
        <v>10.34</v>
      </c>
      <c r="G199" s="3" t="n">
        <v>2</v>
      </c>
    </row>
    <row r="200" customFormat="false" ht="15" hidden="false" customHeight="false" outlineLevel="0" collapsed="false">
      <c r="A200" s="4" t="s">
        <v>8</v>
      </c>
      <c r="B200" s="4" t="s">
        <v>14</v>
      </c>
      <c r="C200" s="4" t="s">
        <v>15</v>
      </c>
      <c r="D200" s="4" t="s">
        <v>16</v>
      </c>
      <c r="E200" s="4" t="n">
        <v>4</v>
      </c>
      <c r="F200" s="4" t="n">
        <v>43.11</v>
      </c>
      <c r="G200" s="4" t="n">
        <v>5</v>
      </c>
    </row>
    <row r="201" customFormat="false" ht="15" hidden="false" customHeight="false" outlineLevel="0" collapsed="false">
      <c r="A201" s="3" t="s">
        <v>8</v>
      </c>
      <c r="B201" s="3" t="s">
        <v>14</v>
      </c>
      <c r="C201" s="3" t="s">
        <v>15</v>
      </c>
      <c r="D201" s="3" t="s">
        <v>16</v>
      </c>
      <c r="E201" s="3" t="n">
        <v>2</v>
      </c>
      <c r="F201" s="3" t="n">
        <v>13</v>
      </c>
      <c r="G201" s="3" t="n">
        <v>2</v>
      </c>
    </row>
    <row r="202" customFormat="false" ht="15" hidden="false" customHeight="false" outlineLevel="0" collapsed="false">
      <c r="A202" s="4" t="s">
        <v>12</v>
      </c>
      <c r="B202" s="4" t="s">
        <v>14</v>
      </c>
      <c r="C202" s="4" t="s">
        <v>15</v>
      </c>
      <c r="D202" s="4" t="s">
        <v>16</v>
      </c>
      <c r="E202" s="4" t="n">
        <v>2</v>
      </c>
      <c r="F202" s="4" t="n">
        <v>13.51</v>
      </c>
      <c r="G202" s="4" t="n">
        <v>2</v>
      </c>
    </row>
    <row r="203" customFormat="false" ht="15" hidden="false" customHeight="false" outlineLevel="0" collapsed="false">
      <c r="A203" s="3" t="s">
        <v>12</v>
      </c>
      <c r="B203" s="3" t="s">
        <v>14</v>
      </c>
      <c r="C203" s="3" t="s">
        <v>15</v>
      </c>
      <c r="D203" s="3" t="s">
        <v>16</v>
      </c>
      <c r="E203" s="3" t="n">
        <v>3</v>
      </c>
      <c r="F203" s="3" t="n">
        <v>18.71</v>
      </c>
      <c r="G203" s="3" t="n">
        <v>4</v>
      </c>
    </row>
    <row r="204" customFormat="false" ht="15" hidden="false" customHeight="false" outlineLevel="0" collapsed="false">
      <c r="A204" s="4" t="s">
        <v>8</v>
      </c>
      <c r="B204" s="4" t="s">
        <v>14</v>
      </c>
      <c r="C204" s="4" t="s">
        <v>15</v>
      </c>
      <c r="D204" s="4" t="s">
        <v>16</v>
      </c>
      <c r="E204" s="4" t="n">
        <v>2</v>
      </c>
      <c r="F204" s="4" t="n">
        <v>12.74</v>
      </c>
      <c r="G204" s="4" t="n">
        <v>2.01</v>
      </c>
    </row>
    <row r="205" customFormat="false" ht="15" hidden="false" customHeight="false" outlineLevel="0" collapsed="false">
      <c r="A205" s="3" t="s">
        <v>8</v>
      </c>
      <c r="B205" s="3" t="s">
        <v>14</v>
      </c>
      <c r="C205" s="3" t="s">
        <v>15</v>
      </c>
      <c r="D205" s="3" t="s">
        <v>16</v>
      </c>
      <c r="E205" s="3" t="n">
        <v>2</v>
      </c>
      <c r="F205" s="3" t="n">
        <v>16.4</v>
      </c>
      <c r="G205" s="3" t="n">
        <v>2.5</v>
      </c>
    </row>
    <row r="206" customFormat="false" ht="15" hidden="false" customHeight="false" outlineLevel="0" collapsed="false">
      <c r="A206" s="4" t="s">
        <v>12</v>
      </c>
      <c r="B206" s="4" t="s">
        <v>14</v>
      </c>
      <c r="C206" s="4" t="s">
        <v>15</v>
      </c>
      <c r="D206" s="4" t="s">
        <v>16</v>
      </c>
      <c r="E206" s="4" t="n">
        <v>4</v>
      </c>
      <c r="F206" s="4" t="n">
        <v>20.53</v>
      </c>
      <c r="G206" s="4" t="n">
        <v>4</v>
      </c>
    </row>
    <row r="207" customFormat="false" ht="15" hidden="false" customHeight="false" outlineLevel="0" collapsed="false">
      <c r="A207" s="3" t="s">
        <v>8</v>
      </c>
      <c r="B207" s="3" t="s">
        <v>14</v>
      </c>
      <c r="C207" s="3" t="s">
        <v>15</v>
      </c>
      <c r="D207" s="3" t="s">
        <v>16</v>
      </c>
      <c r="E207" s="3" t="n">
        <v>3</v>
      </c>
      <c r="F207" s="3" t="n">
        <v>16.47</v>
      </c>
      <c r="G207" s="3" t="n">
        <v>3.23</v>
      </c>
    </row>
    <row r="208" customFormat="false" ht="15" hidden="false" customHeight="false" outlineLevel="0" collapsed="false">
      <c r="A208" s="4" t="s">
        <v>12</v>
      </c>
      <c r="B208" s="4" t="s">
        <v>14</v>
      </c>
      <c r="C208" s="4" t="s">
        <v>13</v>
      </c>
      <c r="D208" s="4" t="s">
        <v>11</v>
      </c>
      <c r="E208" s="4" t="n">
        <v>3</v>
      </c>
      <c r="F208" s="4" t="n">
        <v>26.59</v>
      </c>
      <c r="G208" s="4" t="n">
        <v>3.41</v>
      </c>
    </row>
    <row r="209" customFormat="false" ht="15" hidden="false" customHeight="false" outlineLevel="0" collapsed="false">
      <c r="A209" s="3" t="s">
        <v>12</v>
      </c>
      <c r="B209" s="3" t="s">
        <v>14</v>
      </c>
      <c r="C209" s="3" t="s">
        <v>13</v>
      </c>
      <c r="D209" s="3" t="s">
        <v>11</v>
      </c>
      <c r="E209" s="3" t="n">
        <v>4</v>
      </c>
      <c r="F209" s="3" t="n">
        <v>38.73</v>
      </c>
      <c r="G209" s="3" t="n">
        <v>3</v>
      </c>
    </row>
    <row r="210" customFormat="false" ht="15" hidden="false" customHeight="false" outlineLevel="0" collapsed="false">
      <c r="A210" s="4" t="s">
        <v>12</v>
      </c>
      <c r="B210" s="4" t="s">
        <v>14</v>
      </c>
      <c r="C210" s="4" t="s">
        <v>13</v>
      </c>
      <c r="D210" s="4" t="s">
        <v>11</v>
      </c>
      <c r="E210" s="4" t="n">
        <v>2</v>
      </c>
      <c r="F210" s="4" t="n">
        <v>24.27</v>
      </c>
      <c r="G210" s="4" t="n">
        <v>2.03</v>
      </c>
    </row>
    <row r="211" customFormat="false" ht="15" hidden="false" customHeight="false" outlineLevel="0" collapsed="false">
      <c r="A211" s="3" t="s">
        <v>8</v>
      </c>
      <c r="B211" s="3" t="s">
        <v>14</v>
      </c>
      <c r="C211" s="3" t="s">
        <v>13</v>
      </c>
      <c r="D211" s="3" t="s">
        <v>11</v>
      </c>
      <c r="E211" s="3" t="n">
        <v>2</v>
      </c>
      <c r="F211" s="3" t="n">
        <v>12.76</v>
      </c>
      <c r="G211" s="3" t="n">
        <v>2.23</v>
      </c>
    </row>
    <row r="212" customFormat="false" ht="15" hidden="false" customHeight="false" outlineLevel="0" collapsed="false">
      <c r="A212" s="4" t="s">
        <v>12</v>
      </c>
      <c r="B212" s="4" t="s">
        <v>14</v>
      </c>
      <c r="C212" s="4" t="s">
        <v>13</v>
      </c>
      <c r="D212" s="4" t="s">
        <v>11</v>
      </c>
      <c r="E212" s="4" t="n">
        <v>3</v>
      </c>
      <c r="F212" s="4" t="n">
        <v>30.06</v>
      </c>
      <c r="G212" s="4" t="n">
        <v>2</v>
      </c>
    </row>
    <row r="213" customFormat="false" ht="15" hidden="false" customHeight="false" outlineLevel="0" collapsed="false">
      <c r="A213" s="3" t="s">
        <v>12</v>
      </c>
      <c r="B213" s="3" t="s">
        <v>14</v>
      </c>
      <c r="C213" s="3" t="s">
        <v>13</v>
      </c>
      <c r="D213" s="3" t="s">
        <v>11</v>
      </c>
      <c r="E213" s="3" t="n">
        <v>4</v>
      </c>
      <c r="F213" s="3" t="n">
        <v>25.89</v>
      </c>
      <c r="G213" s="3" t="n">
        <v>5.16</v>
      </c>
    </row>
    <row r="214" customFormat="false" ht="15" hidden="false" customHeight="false" outlineLevel="0" collapsed="false">
      <c r="A214" s="4" t="s">
        <v>12</v>
      </c>
      <c r="B214" s="4" t="s">
        <v>9</v>
      </c>
      <c r="C214" s="4" t="s">
        <v>13</v>
      </c>
      <c r="D214" s="4" t="s">
        <v>11</v>
      </c>
      <c r="E214" s="4" t="n">
        <v>4</v>
      </c>
      <c r="F214" s="4" t="n">
        <v>48.33</v>
      </c>
      <c r="G214" s="4" t="n">
        <v>9</v>
      </c>
    </row>
    <row r="215" customFormat="false" ht="15" hidden="false" customHeight="false" outlineLevel="0" collapsed="false">
      <c r="A215" s="3" t="s">
        <v>8</v>
      </c>
      <c r="B215" s="3" t="s">
        <v>14</v>
      </c>
      <c r="C215" s="3" t="s">
        <v>13</v>
      </c>
      <c r="D215" s="3" t="s">
        <v>11</v>
      </c>
      <c r="E215" s="3" t="n">
        <v>2</v>
      </c>
      <c r="F215" s="3" t="n">
        <v>13.27</v>
      </c>
      <c r="G215" s="3" t="n">
        <v>2.5</v>
      </c>
    </row>
    <row r="216" customFormat="false" ht="15" hidden="false" customHeight="false" outlineLevel="0" collapsed="false">
      <c r="A216" s="4" t="s">
        <v>8</v>
      </c>
      <c r="B216" s="4" t="s">
        <v>14</v>
      </c>
      <c r="C216" s="4" t="s">
        <v>13</v>
      </c>
      <c r="D216" s="4" t="s">
        <v>11</v>
      </c>
      <c r="E216" s="4" t="n">
        <v>3</v>
      </c>
      <c r="F216" s="4" t="n">
        <v>28.17</v>
      </c>
      <c r="G216" s="4" t="n">
        <v>6.5</v>
      </c>
    </row>
    <row r="217" customFormat="false" ht="15" hidden="false" customHeight="false" outlineLevel="0" collapsed="false">
      <c r="A217" s="3" t="s">
        <v>8</v>
      </c>
      <c r="B217" s="3" t="s">
        <v>14</v>
      </c>
      <c r="C217" s="3" t="s">
        <v>13</v>
      </c>
      <c r="D217" s="3" t="s">
        <v>11</v>
      </c>
      <c r="E217" s="3" t="n">
        <v>2</v>
      </c>
      <c r="F217" s="3" t="n">
        <v>12.9</v>
      </c>
      <c r="G217" s="3" t="n">
        <v>1.1</v>
      </c>
    </row>
    <row r="218" customFormat="false" ht="15" hidden="false" customHeight="false" outlineLevel="0" collapsed="false">
      <c r="A218" s="4" t="s">
        <v>12</v>
      </c>
      <c r="B218" s="4" t="s">
        <v>14</v>
      </c>
      <c r="C218" s="4" t="s">
        <v>13</v>
      </c>
      <c r="D218" s="4" t="s">
        <v>11</v>
      </c>
      <c r="E218" s="4" t="n">
        <v>5</v>
      </c>
      <c r="F218" s="4" t="n">
        <v>28.15</v>
      </c>
      <c r="G218" s="4" t="n">
        <v>3</v>
      </c>
    </row>
    <row r="219" customFormat="false" ht="15" hidden="false" customHeight="false" outlineLevel="0" collapsed="false">
      <c r="A219" s="3" t="s">
        <v>12</v>
      </c>
      <c r="B219" s="3" t="s">
        <v>14</v>
      </c>
      <c r="C219" s="3" t="s">
        <v>13</v>
      </c>
      <c r="D219" s="3" t="s">
        <v>11</v>
      </c>
      <c r="E219" s="3" t="n">
        <v>2</v>
      </c>
      <c r="F219" s="3" t="n">
        <v>11.59</v>
      </c>
      <c r="G219" s="3" t="n">
        <v>1.5</v>
      </c>
    </row>
    <row r="220" customFormat="false" ht="15" hidden="false" customHeight="false" outlineLevel="0" collapsed="false">
      <c r="A220" s="4" t="s">
        <v>12</v>
      </c>
      <c r="B220" s="4" t="s">
        <v>14</v>
      </c>
      <c r="C220" s="4" t="s">
        <v>13</v>
      </c>
      <c r="D220" s="4" t="s">
        <v>11</v>
      </c>
      <c r="E220" s="4" t="n">
        <v>2</v>
      </c>
      <c r="F220" s="4" t="n">
        <v>7.74</v>
      </c>
      <c r="G220" s="4" t="n">
        <v>1.44</v>
      </c>
    </row>
    <row r="221" customFormat="false" ht="15" hidden="false" customHeight="false" outlineLevel="0" collapsed="false">
      <c r="A221" s="3" t="s">
        <v>8</v>
      </c>
      <c r="B221" s="3" t="s">
        <v>14</v>
      </c>
      <c r="C221" s="3" t="s">
        <v>13</v>
      </c>
      <c r="D221" s="3" t="s">
        <v>11</v>
      </c>
      <c r="E221" s="3" t="n">
        <v>4</v>
      </c>
      <c r="F221" s="3" t="n">
        <v>30.14</v>
      </c>
      <c r="G221" s="3" t="n">
        <v>3.09</v>
      </c>
    </row>
    <row r="222" customFormat="false" ht="15" hidden="false" customHeight="false" outlineLevel="0" collapsed="false">
      <c r="A222" s="4" t="s">
        <v>12</v>
      </c>
      <c r="B222" s="4" t="s">
        <v>14</v>
      </c>
      <c r="C222" s="4" t="s">
        <v>17</v>
      </c>
      <c r="D222" s="4" t="s">
        <v>16</v>
      </c>
      <c r="E222" s="4" t="n">
        <v>2</v>
      </c>
      <c r="F222" s="4" t="n">
        <v>12.16</v>
      </c>
      <c r="G222" s="4" t="n">
        <v>2.2</v>
      </c>
    </row>
    <row r="223" customFormat="false" ht="15" hidden="false" customHeight="false" outlineLevel="0" collapsed="false">
      <c r="A223" s="3" t="s">
        <v>8</v>
      </c>
      <c r="B223" s="3" t="s">
        <v>14</v>
      </c>
      <c r="C223" s="3" t="s">
        <v>17</v>
      </c>
      <c r="D223" s="3" t="s">
        <v>16</v>
      </c>
      <c r="E223" s="3" t="n">
        <v>2</v>
      </c>
      <c r="F223" s="3" t="n">
        <v>13.42</v>
      </c>
      <c r="G223" s="3" t="n">
        <v>3.48</v>
      </c>
    </row>
    <row r="224" customFormat="false" ht="15" hidden="false" customHeight="false" outlineLevel="0" collapsed="false">
      <c r="A224" s="4" t="s">
        <v>12</v>
      </c>
      <c r="B224" s="4" t="s">
        <v>14</v>
      </c>
      <c r="C224" s="4" t="s">
        <v>17</v>
      </c>
      <c r="D224" s="4" t="s">
        <v>16</v>
      </c>
      <c r="E224" s="4" t="n">
        <v>1</v>
      </c>
      <c r="F224" s="4" t="n">
        <v>8.58</v>
      </c>
      <c r="G224" s="4" t="n">
        <v>1.92</v>
      </c>
    </row>
    <row r="225" customFormat="false" ht="15" hidden="false" customHeight="false" outlineLevel="0" collapsed="false">
      <c r="A225" s="3" t="s">
        <v>8</v>
      </c>
      <c r="B225" s="3" t="s">
        <v>9</v>
      </c>
      <c r="C225" s="3" t="s">
        <v>17</v>
      </c>
      <c r="D225" s="3" t="s">
        <v>16</v>
      </c>
      <c r="E225" s="3" t="n">
        <v>3</v>
      </c>
      <c r="F225" s="3" t="n">
        <v>15.98</v>
      </c>
      <c r="G225" s="3" t="n">
        <v>3</v>
      </c>
    </row>
    <row r="226" customFormat="false" ht="15" hidden="false" customHeight="false" outlineLevel="0" collapsed="false">
      <c r="A226" s="4" t="s">
        <v>12</v>
      </c>
      <c r="B226" s="4" t="s">
        <v>14</v>
      </c>
      <c r="C226" s="4" t="s">
        <v>17</v>
      </c>
      <c r="D226" s="4" t="s">
        <v>16</v>
      </c>
      <c r="E226" s="4" t="n">
        <v>2</v>
      </c>
      <c r="F226" s="4" t="n">
        <v>13.42</v>
      </c>
      <c r="G226" s="4" t="n">
        <v>1.58</v>
      </c>
    </row>
    <row r="227" customFormat="false" ht="15" hidden="false" customHeight="false" outlineLevel="0" collapsed="false">
      <c r="A227" s="3" t="s">
        <v>8</v>
      </c>
      <c r="B227" s="3" t="s">
        <v>14</v>
      </c>
      <c r="C227" s="3" t="s">
        <v>17</v>
      </c>
      <c r="D227" s="3" t="s">
        <v>16</v>
      </c>
      <c r="E227" s="3" t="n">
        <v>2</v>
      </c>
      <c r="F227" s="3" t="n">
        <v>16.27</v>
      </c>
      <c r="G227" s="3" t="n">
        <v>2.5</v>
      </c>
    </row>
    <row r="228" customFormat="false" ht="15" hidden="false" customHeight="false" outlineLevel="0" collapsed="false">
      <c r="A228" s="4" t="s">
        <v>8</v>
      </c>
      <c r="B228" s="4" t="s">
        <v>14</v>
      </c>
      <c r="C228" s="4" t="s">
        <v>17</v>
      </c>
      <c r="D228" s="4" t="s">
        <v>16</v>
      </c>
      <c r="E228" s="4" t="n">
        <v>2</v>
      </c>
      <c r="F228" s="4" t="n">
        <v>10.09</v>
      </c>
      <c r="G228" s="4" t="n">
        <v>2</v>
      </c>
    </row>
    <row r="229" customFormat="false" ht="15" hidden="false" customHeight="false" outlineLevel="0" collapsed="false">
      <c r="A229" s="3" t="s">
        <v>12</v>
      </c>
      <c r="B229" s="3" t="s">
        <v>9</v>
      </c>
      <c r="C229" s="3" t="s">
        <v>13</v>
      </c>
      <c r="D229" s="3" t="s">
        <v>11</v>
      </c>
      <c r="E229" s="3" t="n">
        <v>4</v>
      </c>
      <c r="F229" s="3" t="n">
        <v>20.45</v>
      </c>
      <c r="G229" s="3" t="n">
        <v>3</v>
      </c>
    </row>
    <row r="230" customFormat="false" ht="15" hidden="false" customHeight="false" outlineLevel="0" collapsed="false">
      <c r="A230" s="4" t="s">
        <v>12</v>
      </c>
      <c r="B230" s="4" t="s">
        <v>9</v>
      </c>
      <c r="C230" s="4" t="s">
        <v>13</v>
      </c>
      <c r="D230" s="4" t="s">
        <v>11</v>
      </c>
      <c r="E230" s="4" t="n">
        <v>2</v>
      </c>
      <c r="F230" s="4" t="n">
        <v>13.28</v>
      </c>
      <c r="G230" s="4" t="n">
        <v>2.72</v>
      </c>
    </row>
    <row r="231" customFormat="false" ht="15" hidden="false" customHeight="false" outlineLevel="0" collapsed="false">
      <c r="A231" s="3" t="s">
        <v>8</v>
      </c>
      <c r="B231" s="3" t="s">
        <v>14</v>
      </c>
      <c r="C231" s="3" t="s">
        <v>13</v>
      </c>
      <c r="D231" s="3" t="s">
        <v>11</v>
      </c>
      <c r="E231" s="3" t="n">
        <v>2</v>
      </c>
      <c r="F231" s="3" t="n">
        <v>22.12</v>
      </c>
      <c r="G231" s="3" t="n">
        <v>2.88</v>
      </c>
    </row>
    <row r="232" customFormat="false" ht="15" hidden="false" customHeight="false" outlineLevel="0" collapsed="false">
      <c r="A232" s="4" t="s">
        <v>12</v>
      </c>
      <c r="B232" s="4" t="s">
        <v>14</v>
      </c>
      <c r="C232" s="4" t="s">
        <v>13</v>
      </c>
      <c r="D232" s="4" t="s">
        <v>11</v>
      </c>
      <c r="E232" s="4" t="n">
        <v>4</v>
      </c>
      <c r="F232" s="4" t="n">
        <v>24.01</v>
      </c>
      <c r="G232" s="4" t="n">
        <v>2</v>
      </c>
    </row>
    <row r="233" customFormat="false" ht="15" hidden="false" customHeight="false" outlineLevel="0" collapsed="false">
      <c r="A233" s="3" t="s">
        <v>12</v>
      </c>
      <c r="B233" s="3" t="s">
        <v>14</v>
      </c>
      <c r="C233" s="3" t="s">
        <v>13</v>
      </c>
      <c r="D233" s="3" t="s">
        <v>11</v>
      </c>
      <c r="E233" s="3" t="n">
        <v>3</v>
      </c>
      <c r="F233" s="3" t="n">
        <v>15.69</v>
      </c>
      <c r="G233" s="3" t="n">
        <v>3</v>
      </c>
    </row>
    <row r="234" customFormat="false" ht="15" hidden="false" customHeight="false" outlineLevel="0" collapsed="false">
      <c r="A234" s="4" t="s">
        <v>12</v>
      </c>
      <c r="B234" s="4" t="s">
        <v>9</v>
      </c>
      <c r="C234" s="4" t="s">
        <v>13</v>
      </c>
      <c r="D234" s="4" t="s">
        <v>11</v>
      </c>
      <c r="E234" s="4" t="n">
        <v>2</v>
      </c>
      <c r="F234" s="4" t="n">
        <v>11.61</v>
      </c>
      <c r="G234" s="4" t="n">
        <v>3.39</v>
      </c>
    </row>
    <row r="235" customFormat="false" ht="15" hidden="false" customHeight="false" outlineLevel="0" collapsed="false">
      <c r="A235" s="3" t="s">
        <v>12</v>
      </c>
      <c r="B235" s="3" t="s">
        <v>9</v>
      </c>
      <c r="C235" s="3" t="s">
        <v>13</v>
      </c>
      <c r="D235" s="3" t="s">
        <v>11</v>
      </c>
      <c r="E235" s="3" t="n">
        <v>2</v>
      </c>
      <c r="F235" s="3" t="n">
        <v>10.77</v>
      </c>
      <c r="G235" s="3" t="n">
        <v>1.47</v>
      </c>
    </row>
    <row r="236" customFormat="false" ht="15" hidden="false" customHeight="false" outlineLevel="0" collapsed="false">
      <c r="A236" s="4" t="s">
        <v>12</v>
      </c>
      <c r="B236" s="4" t="s">
        <v>14</v>
      </c>
      <c r="C236" s="4" t="s">
        <v>13</v>
      </c>
      <c r="D236" s="4" t="s">
        <v>11</v>
      </c>
      <c r="E236" s="4" t="n">
        <v>2</v>
      </c>
      <c r="F236" s="4" t="n">
        <v>15.53</v>
      </c>
      <c r="G236" s="4" t="n">
        <v>3</v>
      </c>
    </row>
    <row r="237" customFormat="false" ht="15" hidden="false" customHeight="false" outlineLevel="0" collapsed="false">
      <c r="A237" s="3" t="s">
        <v>12</v>
      </c>
      <c r="B237" s="3" t="s">
        <v>9</v>
      </c>
      <c r="C237" s="3" t="s">
        <v>13</v>
      </c>
      <c r="D237" s="3" t="s">
        <v>11</v>
      </c>
      <c r="E237" s="3" t="n">
        <v>2</v>
      </c>
      <c r="F237" s="3" t="n">
        <v>10.07</v>
      </c>
      <c r="G237" s="3" t="n">
        <v>1.25</v>
      </c>
    </row>
    <row r="238" customFormat="false" ht="15" hidden="false" customHeight="false" outlineLevel="0" collapsed="false">
      <c r="A238" s="4" t="s">
        <v>12</v>
      </c>
      <c r="B238" s="4" t="s">
        <v>14</v>
      </c>
      <c r="C238" s="4" t="s">
        <v>13</v>
      </c>
      <c r="D238" s="4" t="s">
        <v>11</v>
      </c>
      <c r="E238" s="4" t="n">
        <v>2</v>
      </c>
      <c r="F238" s="4" t="n">
        <v>12.6</v>
      </c>
      <c r="G238" s="4" t="n">
        <v>1</v>
      </c>
    </row>
    <row r="239" customFormat="false" ht="15" hidden="false" customHeight="false" outlineLevel="0" collapsed="false">
      <c r="A239" s="3" t="s">
        <v>12</v>
      </c>
      <c r="B239" s="3" t="s">
        <v>14</v>
      </c>
      <c r="C239" s="3" t="s">
        <v>13</v>
      </c>
      <c r="D239" s="3" t="s">
        <v>11</v>
      </c>
      <c r="E239" s="3" t="n">
        <v>2</v>
      </c>
      <c r="F239" s="3" t="n">
        <v>32.83</v>
      </c>
      <c r="G239" s="3" t="n">
        <v>1.17</v>
      </c>
    </row>
    <row r="240" customFormat="false" ht="15" hidden="false" customHeight="false" outlineLevel="0" collapsed="false">
      <c r="A240" s="4" t="s">
        <v>8</v>
      </c>
      <c r="B240" s="4" t="s">
        <v>9</v>
      </c>
      <c r="C240" s="4" t="s">
        <v>13</v>
      </c>
      <c r="D240" s="4" t="s">
        <v>11</v>
      </c>
      <c r="E240" s="4" t="n">
        <v>3</v>
      </c>
      <c r="F240" s="4" t="n">
        <v>35.83</v>
      </c>
      <c r="G240" s="4" t="n">
        <v>4.67</v>
      </c>
    </row>
    <row r="241" customFormat="false" ht="15" hidden="false" customHeight="false" outlineLevel="0" collapsed="false">
      <c r="A241" s="3" t="s">
        <v>12</v>
      </c>
      <c r="B241" s="3" t="s">
        <v>9</v>
      </c>
      <c r="C241" s="3" t="s">
        <v>13</v>
      </c>
      <c r="D241" s="3" t="s">
        <v>11</v>
      </c>
      <c r="E241" s="3" t="n">
        <v>3</v>
      </c>
      <c r="F241" s="3" t="n">
        <v>29.03</v>
      </c>
      <c r="G241" s="3" t="n">
        <v>5.92</v>
      </c>
    </row>
    <row r="242" customFormat="false" ht="15" hidden="false" customHeight="false" outlineLevel="0" collapsed="false">
      <c r="A242" s="4" t="s">
        <v>8</v>
      </c>
      <c r="B242" s="4" t="s">
        <v>14</v>
      </c>
      <c r="C242" s="4" t="s">
        <v>13</v>
      </c>
      <c r="D242" s="4" t="s">
        <v>11</v>
      </c>
      <c r="E242" s="4" t="n">
        <v>2</v>
      </c>
      <c r="F242" s="4" t="n">
        <v>27.18</v>
      </c>
      <c r="G242" s="4" t="n">
        <v>2</v>
      </c>
    </row>
    <row r="243" customFormat="false" ht="15" hidden="false" customHeight="false" outlineLevel="0" collapsed="false">
      <c r="A243" s="3" t="s">
        <v>12</v>
      </c>
      <c r="B243" s="3" t="s">
        <v>14</v>
      </c>
      <c r="C243" s="3" t="s">
        <v>13</v>
      </c>
      <c r="D243" s="3" t="s">
        <v>11</v>
      </c>
      <c r="E243" s="3" t="n">
        <v>2</v>
      </c>
      <c r="F243" s="3" t="n">
        <v>22.67</v>
      </c>
      <c r="G243" s="3" t="n">
        <v>2</v>
      </c>
    </row>
    <row r="244" customFormat="false" ht="15" hidden="false" customHeight="false" outlineLevel="0" collapsed="false">
      <c r="A244" s="4" t="s">
        <v>12</v>
      </c>
      <c r="B244" s="4" t="s">
        <v>9</v>
      </c>
      <c r="C244" s="4" t="s">
        <v>13</v>
      </c>
      <c r="D244" s="4" t="s">
        <v>11</v>
      </c>
      <c r="E244" s="4" t="n">
        <v>2</v>
      </c>
      <c r="F244" s="4" t="n">
        <v>17.82</v>
      </c>
      <c r="G244" s="4" t="n">
        <v>1.75</v>
      </c>
    </row>
    <row r="245" customFormat="false" ht="15" hidden="false" customHeight="false" outlineLevel="0" collapsed="false">
      <c r="A245" s="3" t="s">
        <v>8</v>
      </c>
      <c r="B245" s="3" t="s">
        <v>9</v>
      </c>
      <c r="C245" s="3" t="s">
        <v>15</v>
      </c>
      <c r="D245" s="3" t="s">
        <v>11</v>
      </c>
      <c r="E245" s="3" t="n">
        <v>2</v>
      </c>
      <c r="F245" s="3" t="n">
        <v>18.78</v>
      </c>
      <c r="G245" s="3" t="n">
        <v>3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8"/>
    <col collapsed="false" customWidth="true" hidden="false" outlineLevel="0" max="6" min="6" style="0" width="13"/>
    <col collapsed="false" customWidth="true" hidden="false" outlineLevel="0" max="7" min="7" style="0" width="10"/>
    <col collapsed="false" customWidth="true" hidden="false" outlineLevel="0" max="8" min="8" style="0" width="4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21.75" hidden="false" customHeight="true" outlineLevel="0" collapsed="false">
      <c r="A2" s="2" t="s">
        <v>19</v>
      </c>
      <c r="B2" s="2" t="s">
        <v>20</v>
      </c>
      <c r="C2" s="2" t="s">
        <v>21</v>
      </c>
      <c r="D2" s="2" t="s">
        <v>22</v>
      </c>
      <c r="E2" s="2" t="s">
        <v>5</v>
      </c>
      <c r="F2" s="2" t="s">
        <v>6</v>
      </c>
      <c r="G2" s="2" t="s">
        <v>7</v>
      </c>
      <c r="I2" s="5" t="s">
        <v>23</v>
      </c>
      <c r="J2" s="5" t="s">
        <v>24</v>
      </c>
      <c r="K2" s="5" t="s">
        <v>25</v>
      </c>
      <c r="L2" s="5" t="s">
        <v>26</v>
      </c>
    </row>
    <row r="3" customFormat="false" ht="15" hidden="false" customHeight="false" outlineLevel="0" collapsed="false">
      <c r="A3" s="3" t="n">
        <f aca="false">IF('Cleaned Data'!A3="Female",0,1)</f>
        <v>0</v>
      </c>
      <c r="B3" s="3" t="n">
        <f aca="false">IF('Cleaned Data'!B3="No",0,1)</f>
        <v>0</v>
      </c>
      <c r="C3" s="3" t="n">
        <f aca="false">IF('Cleaned Data'!C3="Thur",1,IF('Cleaned Data'!C3="Fri",2,IF('Cleaned Data'!C3="Sat",3,4)))</f>
        <v>4</v>
      </c>
      <c r="D3" s="3" t="n">
        <f aca="false">IF('Cleaned Data'!D3="Lunch",0,1)</f>
        <v>1</v>
      </c>
      <c r="E3" s="3" t="n">
        <f aca="false">'Cleaned Data'!E3</f>
        <v>2</v>
      </c>
      <c r="F3" s="3" t="n">
        <f aca="false">'Cleaned Data'!F3</f>
        <v>16.99</v>
      </c>
      <c r="G3" s="3" t="n">
        <f aca="false">'Cleaned Data'!G3</f>
        <v>1.01</v>
      </c>
      <c r="I3" s="6" t="s">
        <v>27</v>
      </c>
      <c r="J3" s="7" t="s">
        <v>28</v>
      </c>
      <c r="K3" s="7"/>
    </row>
    <row r="4" customFormat="false" ht="15" hidden="false" customHeight="false" outlineLevel="0" collapsed="false">
      <c r="A4" s="4" t="n">
        <f aca="false">IF('Cleaned Data'!A4="Female",0,1)</f>
        <v>1</v>
      </c>
      <c r="B4" s="4" t="n">
        <f aca="false">IF('Cleaned Data'!B4="No",0,1)</f>
        <v>0</v>
      </c>
      <c r="C4" s="4" t="n">
        <f aca="false">IF('Cleaned Data'!C4="Thur",1,IF('Cleaned Data'!C4="Fri",2,IF('Cleaned Data'!C4="Sat",3,4)))</f>
        <v>4</v>
      </c>
      <c r="D4" s="4" t="n">
        <f aca="false">IF('Cleaned Data'!D4="Lunch",0,1)</f>
        <v>1</v>
      </c>
      <c r="E4" s="4" t="n">
        <f aca="false">'Cleaned Data'!E4</f>
        <v>3</v>
      </c>
      <c r="F4" s="4" t="n">
        <f aca="false">'Cleaned Data'!F4</f>
        <v>10.34</v>
      </c>
      <c r="G4" s="4" t="n">
        <f aca="false">'Cleaned Data'!G4</f>
        <v>1.66</v>
      </c>
      <c r="I4" s="6" t="s">
        <v>29</v>
      </c>
      <c r="J4" s="7" t="s">
        <v>30</v>
      </c>
      <c r="K4" s="7"/>
    </row>
    <row r="5" customFormat="false" ht="15" hidden="false" customHeight="false" outlineLevel="0" collapsed="false">
      <c r="A5" s="3" t="n">
        <f aca="false">IF('Cleaned Data'!A5="Female",0,1)</f>
        <v>1</v>
      </c>
      <c r="B5" s="3" t="n">
        <f aca="false">IF('Cleaned Data'!B5="No",0,1)</f>
        <v>0</v>
      </c>
      <c r="C5" s="3" t="n">
        <f aca="false">IF('Cleaned Data'!C5="Thur",1,IF('Cleaned Data'!C5="Fri",2,IF('Cleaned Data'!C5="Sat",3,4)))</f>
        <v>4</v>
      </c>
      <c r="D5" s="3" t="n">
        <f aca="false">IF('Cleaned Data'!D5="Lunch",0,1)</f>
        <v>1</v>
      </c>
      <c r="E5" s="3" t="n">
        <f aca="false">'Cleaned Data'!E5</f>
        <v>3</v>
      </c>
      <c r="F5" s="3" t="n">
        <f aca="false">'Cleaned Data'!F5</f>
        <v>21.01</v>
      </c>
      <c r="G5" s="3" t="n">
        <f aca="false">'Cleaned Data'!G5</f>
        <v>3.5</v>
      </c>
      <c r="I5" s="6" t="s">
        <v>31</v>
      </c>
      <c r="J5" s="7" t="s">
        <v>32</v>
      </c>
      <c r="K5" s="7"/>
    </row>
    <row r="6" customFormat="false" ht="15" hidden="false" customHeight="false" outlineLevel="0" collapsed="false">
      <c r="A6" s="4" t="n">
        <f aca="false">IF('Cleaned Data'!A6="Female",0,1)</f>
        <v>1</v>
      </c>
      <c r="B6" s="4" t="n">
        <f aca="false">IF('Cleaned Data'!B6="No",0,1)</f>
        <v>0</v>
      </c>
      <c r="C6" s="4" t="n">
        <f aca="false">IF('Cleaned Data'!C6="Thur",1,IF('Cleaned Data'!C6="Fri",2,IF('Cleaned Data'!C6="Sat",3,4)))</f>
        <v>4</v>
      </c>
      <c r="D6" s="4" t="n">
        <f aca="false">IF('Cleaned Data'!D6="Lunch",0,1)</f>
        <v>1</v>
      </c>
      <c r="E6" s="4" t="n">
        <f aca="false">'Cleaned Data'!E6</f>
        <v>2</v>
      </c>
      <c r="F6" s="4" t="n">
        <f aca="false">'Cleaned Data'!F6</f>
        <v>23.68</v>
      </c>
      <c r="G6" s="4" t="n">
        <f aca="false">'Cleaned Data'!G6</f>
        <v>3.31</v>
      </c>
      <c r="I6" s="6" t="s">
        <v>33</v>
      </c>
      <c r="J6" s="7" t="s">
        <v>34</v>
      </c>
      <c r="K6" s="7"/>
    </row>
    <row r="7" customFormat="false" ht="15" hidden="false" customHeight="false" outlineLevel="0" collapsed="false">
      <c r="A7" s="3" t="n">
        <f aca="false">IF('Cleaned Data'!A7="Female",0,1)</f>
        <v>0</v>
      </c>
      <c r="B7" s="3" t="n">
        <f aca="false">IF('Cleaned Data'!B7="No",0,1)</f>
        <v>0</v>
      </c>
      <c r="C7" s="3" t="n">
        <f aca="false">IF('Cleaned Data'!C7="Thur",1,IF('Cleaned Data'!C7="Fri",2,IF('Cleaned Data'!C7="Sat",3,4)))</f>
        <v>4</v>
      </c>
      <c r="D7" s="3" t="n">
        <f aca="false">IF('Cleaned Data'!D7="Lunch",0,1)</f>
        <v>1</v>
      </c>
      <c r="E7" s="3" t="n">
        <f aca="false">'Cleaned Data'!E7</f>
        <v>4</v>
      </c>
      <c r="F7" s="3" t="n">
        <f aca="false">'Cleaned Data'!F7</f>
        <v>24.59</v>
      </c>
      <c r="G7" s="3" t="n">
        <f aca="false">'Cleaned Data'!G7</f>
        <v>3.61</v>
      </c>
    </row>
    <row r="8" customFormat="false" ht="15" hidden="false" customHeight="false" outlineLevel="0" collapsed="false">
      <c r="A8" s="4" t="n">
        <f aca="false">IF('Cleaned Data'!A8="Female",0,1)</f>
        <v>1</v>
      </c>
      <c r="B8" s="4" t="n">
        <f aca="false">IF('Cleaned Data'!B8="No",0,1)</f>
        <v>0</v>
      </c>
      <c r="C8" s="4" t="n">
        <f aca="false">IF('Cleaned Data'!C8="Thur",1,IF('Cleaned Data'!C8="Fri",2,IF('Cleaned Data'!C8="Sat",3,4)))</f>
        <v>4</v>
      </c>
      <c r="D8" s="4" t="n">
        <f aca="false">IF('Cleaned Data'!D8="Lunch",0,1)</f>
        <v>1</v>
      </c>
      <c r="E8" s="4" t="n">
        <f aca="false">'Cleaned Data'!E8</f>
        <v>4</v>
      </c>
      <c r="F8" s="4" t="n">
        <f aca="false">'Cleaned Data'!F8</f>
        <v>25.29</v>
      </c>
      <c r="G8" s="4" t="n">
        <f aca="false">'Cleaned Data'!G8</f>
        <v>4.71</v>
      </c>
    </row>
    <row r="9" customFormat="false" ht="15" hidden="false" customHeight="false" outlineLevel="0" collapsed="false">
      <c r="A9" s="3" t="n">
        <f aca="false">IF('Cleaned Data'!A9="Female",0,1)</f>
        <v>1</v>
      </c>
      <c r="B9" s="3" t="n">
        <f aca="false">IF('Cleaned Data'!B9="No",0,1)</f>
        <v>0</v>
      </c>
      <c r="C9" s="3" t="n">
        <f aca="false">IF('Cleaned Data'!C9="Thur",1,IF('Cleaned Data'!C9="Fri",2,IF('Cleaned Data'!C9="Sat",3,4)))</f>
        <v>4</v>
      </c>
      <c r="D9" s="3" t="n">
        <f aca="false">IF('Cleaned Data'!D9="Lunch",0,1)</f>
        <v>1</v>
      </c>
      <c r="E9" s="3" t="n">
        <f aca="false">'Cleaned Data'!E9</f>
        <v>2</v>
      </c>
      <c r="F9" s="3" t="n">
        <f aca="false">'Cleaned Data'!F9</f>
        <v>8.77</v>
      </c>
      <c r="G9" s="3" t="n">
        <f aca="false">'Cleaned Data'!G9</f>
        <v>2</v>
      </c>
    </row>
    <row r="10" customFormat="false" ht="15" hidden="false" customHeight="false" outlineLevel="0" collapsed="false">
      <c r="A10" s="4" t="n">
        <f aca="false">IF('Cleaned Data'!A10="Female",0,1)</f>
        <v>1</v>
      </c>
      <c r="B10" s="4" t="n">
        <f aca="false">IF('Cleaned Data'!B10="No",0,1)</f>
        <v>0</v>
      </c>
      <c r="C10" s="4" t="n">
        <f aca="false">IF('Cleaned Data'!C10="Thur",1,IF('Cleaned Data'!C10="Fri",2,IF('Cleaned Data'!C10="Sat",3,4)))</f>
        <v>4</v>
      </c>
      <c r="D10" s="4" t="n">
        <f aca="false">IF('Cleaned Data'!D10="Lunch",0,1)</f>
        <v>1</v>
      </c>
      <c r="E10" s="4" t="n">
        <f aca="false">'Cleaned Data'!E10</f>
        <v>4</v>
      </c>
      <c r="F10" s="4" t="n">
        <f aca="false">'Cleaned Data'!F10</f>
        <v>26.88</v>
      </c>
      <c r="G10" s="4" t="n">
        <f aca="false">'Cleaned Data'!G10</f>
        <v>3.12</v>
      </c>
    </row>
    <row r="11" customFormat="false" ht="15" hidden="false" customHeight="false" outlineLevel="0" collapsed="false">
      <c r="A11" s="3" t="n">
        <f aca="false">IF('Cleaned Data'!A11="Female",0,1)</f>
        <v>1</v>
      </c>
      <c r="B11" s="3" t="n">
        <f aca="false">IF('Cleaned Data'!B11="No",0,1)</f>
        <v>0</v>
      </c>
      <c r="C11" s="3" t="n">
        <f aca="false">IF('Cleaned Data'!C11="Thur",1,IF('Cleaned Data'!C11="Fri",2,IF('Cleaned Data'!C11="Sat",3,4)))</f>
        <v>4</v>
      </c>
      <c r="D11" s="3" t="n">
        <f aca="false">IF('Cleaned Data'!D11="Lunch",0,1)</f>
        <v>1</v>
      </c>
      <c r="E11" s="3" t="n">
        <f aca="false">'Cleaned Data'!E11</f>
        <v>2</v>
      </c>
      <c r="F11" s="3" t="n">
        <f aca="false">'Cleaned Data'!F11</f>
        <v>15.04</v>
      </c>
      <c r="G11" s="3" t="n">
        <f aca="false">'Cleaned Data'!G11</f>
        <v>1.96</v>
      </c>
    </row>
    <row r="12" customFormat="false" ht="15" hidden="false" customHeight="false" outlineLevel="0" collapsed="false">
      <c r="A12" s="4" t="n">
        <f aca="false">IF('Cleaned Data'!A12="Female",0,1)</f>
        <v>1</v>
      </c>
      <c r="B12" s="4" t="n">
        <f aca="false">IF('Cleaned Data'!B12="No",0,1)</f>
        <v>0</v>
      </c>
      <c r="C12" s="4" t="n">
        <f aca="false">IF('Cleaned Data'!C12="Thur",1,IF('Cleaned Data'!C12="Fri",2,IF('Cleaned Data'!C12="Sat",3,4)))</f>
        <v>4</v>
      </c>
      <c r="D12" s="4" t="n">
        <f aca="false">IF('Cleaned Data'!D12="Lunch",0,1)</f>
        <v>1</v>
      </c>
      <c r="E12" s="4" t="n">
        <f aca="false">'Cleaned Data'!E12</f>
        <v>2</v>
      </c>
      <c r="F12" s="4" t="n">
        <f aca="false">'Cleaned Data'!F12</f>
        <v>14.78</v>
      </c>
      <c r="G12" s="4" t="n">
        <f aca="false">'Cleaned Data'!G12</f>
        <v>3.23</v>
      </c>
    </row>
    <row r="13" customFormat="false" ht="15" hidden="false" customHeight="false" outlineLevel="0" collapsed="false">
      <c r="A13" s="3" t="n">
        <f aca="false">IF('Cleaned Data'!A13="Female",0,1)</f>
        <v>1</v>
      </c>
      <c r="B13" s="3" t="n">
        <f aca="false">IF('Cleaned Data'!B13="No",0,1)</f>
        <v>0</v>
      </c>
      <c r="C13" s="3" t="n">
        <f aca="false">IF('Cleaned Data'!C13="Thur",1,IF('Cleaned Data'!C13="Fri",2,IF('Cleaned Data'!C13="Sat",3,4)))</f>
        <v>4</v>
      </c>
      <c r="D13" s="3" t="n">
        <f aca="false">IF('Cleaned Data'!D13="Lunch",0,1)</f>
        <v>1</v>
      </c>
      <c r="E13" s="3" t="n">
        <f aca="false">'Cleaned Data'!E13</f>
        <v>2</v>
      </c>
      <c r="F13" s="3" t="n">
        <f aca="false">'Cleaned Data'!F13</f>
        <v>10.27</v>
      </c>
      <c r="G13" s="3" t="n">
        <f aca="false">'Cleaned Data'!G13</f>
        <v>1.71</v>
      </c>
    </row>
    <row r="14" customFormat="false" ht="15" hidden="false" customHeight="false" outlineLevel="0" collapsed="false">
      <c r="A14" s="4" t="n">
        <f aca="false">IF('Cleaned Data'!A14="Female",0,1)</f>
        <v>0</v>
      </c>
      <c r="B14" s="4" t="n">
        <f aca="false">IF('Cleaned Data'!B14="No",0,1)</f>
        <v>0</v>
      </c>
      <c r="C14" s="4" t="n">
        <f aca="false">IF('Cleaned Data'!C14="Thur",1,IF('Cleaned Data'!C14="Fri",2,IF('Cleaned Data'!C14="Sat",3,4)))</f>
        <v>4</v>
      </c>
      <c r="D14" s="4" t="n">
        <f aca="false">IF('Cleaned Data'!D14="Lunch",0,1)</f>
        <v>1</v>
      </c>
      <c r="E14" s="4" t="n">
        <f aca="false">'Cleaned Data'!E14</f>
        <v>4</v>
      </c>
      <c r="F14" s="4" t="n">
        <f aca="false">'Cleaned Data'!F14</f>
        <v>35.26</v>
      </c>
      <c r="G14" s="4" t="n">
        <f aca="false">'Cleaned Data'!G14</f>
        <v>5</v>
      </c>
    </row>
    <row r="15" customFormat="false" ht="15" hidden="false" customHeight="false" outlineLevel="0" collapsed="false">
      <c r="A15" s="3" t="n">
        <f aca="false">IF('Cleaned Data'!A15="Female",0,1)</f>
        <v>1</v>
      </c>
      <c r="B15" s="3" t="n">
        <f aca="false">IF('Cleaned Data'!B15="No",0,1)</f>
        <v>0</v>
      </c>
      <c r="C15" s="3" t="n">
        <f aca="false">IF('Cleaned Data'!C15="Thur",1,IF('Cleaned Data'!C15="Fri",2,IF('Cleaned Data'!C15="Sat",3,4)))</f>
        <v>4</v>
      </c>
      <c r="D15" s="3" t="n">
        <f aca="false">IF('Cleaned Data'!D15="Lunch",0,1)</f>
        <v>1</v>
      </c>
      <c r="E15" s="3" t="n">
        <f aca="false">'Cleaned Data'!E15</f>
        <v>2</v>
      </c>
      <c r="F15" s="3" t="n">
        <f aca="false">'Cleaned Data'!F15</f>
        <v>15.42</v>
      </c>
      <c r="G15" s="3" t="n">
        <f aca="false">'Cleaned Data'!G15</f>
        <v>1.57</v>
      </c>
    </row>
    <row r="16" customFormat="false" ht="15" hidden="false" customHeight="false" outlineLevel="0" collapsed="false">
      <c r="A16" s="4" t="n">
        <f aca="false">IF('Cleaned Data'!A16="Female",0,1)</f>
        <v>1</v>
      </c>
      <c r="B16" s="4" t="n">
        <f aca="false">IF('Cleaned Data'!B16="No",0,1)</f>
        <v>0</v>
      </c>
      <c r="C16" s="4" t="n">
        <f aca="false">IF('Cleaned Data'!C16="Thur",1,IF('Cleaned Data'!C16="Fri",2,IF('Cleaned Data'!C16="Sat",3,4)))</f>
        <v>4</v>
      </c>
      <c r="D16" s="4" t="n">
        <f aca="false">IF('Cleaned Data'!D16="Lunch",0,1)</f>
        <v>1</v>
      </c>
      <c r="E16" s="4" t="n">
        <f aca="false">'Cleaned Data'!E16</f>
        <v>4</v>
      </c>
      <c r="F16" s="4" t="n">
        <f aca="false">'Cleaned Data'!F16</f>
        <v>18.43</v>
      </c>
      <c r="G16" s="4" t="n">
        <f aca="false">'Cleaned Data'!G16</f>
        <v>3</v>
      </c>
    </row>
    <row r="17" customFormat="false" ht="15" hidden="false" customHeight="false" outlineLevel="0" collapsed="false">
      <c r="A17" s="3" t="n">
        <f aca="false">IF('Cleaned Data'!A17="Female",0,1)</f>
        <v>0</v>
      </c>
      <c r="B17" s="3" t="n">
        <f aca="false">IF('Cleaned Data'!B17="No",0,1)</f>
        <v>0</v>
      </c>
      <c r="C17" s="3" t="n">
        <f aca="false">IF('Cleaned Data'!C17="Thur",1,IF('Cleaned Data'!C17="Fri",2,IF('Cleaned Data'!C17="Sat",3,4)))</f>
        <v>4</v>
      </c>
      <c r="D17" s="3" t="n">
        <f aca="false">IF('Cleaned Data'!D17="Lunch",0,1)</f>
        <v>1</v>
      </c>
      <c r="E17" s="3" t="n">
        <f aca="false">'Cleaned Data'!E17</f>
        <v>2</v>
      </c>
      <c r="F17" s="3" t="n">
        <f aca="false">'Cleaned Data'!F17</f>
        <v>14.83</v>
      </c>
      <c r="G17" s="3" t="n">
        <f aca="false">'Cleaned Data'!G17</f>
        <v>3.02</v>
      </c>
    </row>
    <row r="18" customFormat="false" ht="15" hidden="false" customHeight="false" outlineLevel="0" collapsed="false">
      <c r="A18" s="4" t="n">
        <f aca="false">IF('Cleaned Data'!A18="Female",0,1)</f>
        <v>1</v>
      </c>
      <c r="B18" s="4" t="n">
        <f aca="false">IF('Cleaned Data'!B18="No",0,1)</f>
        <v>0</v>
      </c>
      <c r="C18" s="4" t="n">
        <f aca="false">IF('Cleaned Data'!C18="Thur",1,IF('Cleaned Data'!C18="Fri",2,IF('Cleaned Data'!C18="Sat",3,4)))</f>
        <v>4</v>
      </c>
      <c r="D18" s="4" t="n">
        <f aca="false">IF('Cleaned Data'!D18="Lunch",0,1)</f>
        <v>1</v>
      </c>
      <c r="E18" s="4" t="n">
        <f aca="false">'Cleaned Data'!E18</f>
        <v>2</v>
      </c>
      <c r="F18" s="4" t="n">
        <f aca="false">'Cleaned Data'!F18</f>
        <v>21.58</v>
      </c>
      <c r="G18" s="4" t="n">
        <f aca="false">'Cleaned Data'!G18</f>
        <v>3.92</v>
      </c>
    </row>
    <row r="19" customFormat="false" ht="15" hidden="false" customHeight="false" outlineLevel="0" collapsed="false">
      <c r="A19" s="3" t="n">
        <f aca="false">IF('Cleaned Data'!A19="Female",0,1)</f>
        <v>0</v>
      </c>
      <c r="B19" s="3" t="n">
        <f aca="false">IF('Cleaned Data'!B19="No",0,1)</f>
        <v>0</v>
      </c>
      <c r="C19" s="3" t="n">
        <f aca="false">IF('Cleaned Data'!C19="Thur",1,IF('Cleaned Data'!C19="Fri",2,IF('Cleaned Data'!C19="Sat",3,4)))</f>
        <v>4</v>
      </c>
      <c r="D19" s="3" t="n">
        <f aca="false">IF('Cleaned Data'!D19="Lunch",0,1)</f>
        <v>1</v>
      </c>
      <c r="E19" s="3" t="n">
        <f aca="false">'Cleaned Data'!E19</f>
        <v>3</v>
      </c>
      <c r="F19" s="3" t="n">
        <f aca="false">'Cleaned Data'!F19</f>
        <v>10.33</v>
      </c>
      <c r="G19" s="3" t="n">
        <f aca="false">'Cleaned Data'!G19</f>
        <v>1.67</v>
      </c>
    </row>
    <row r="20" customFormat="false" ht="15" hidden="false" customHeight="false" outlineLevel="0" collapsed="false">
      <c r="A20" s="4" t="n">
        <f aca="false">IF('Cleaned Data'!A20="Female",0,1)</f>
        <v>1</v>
      </c>
      <c r="B20" s="4" t="n">
        <f aca="false">IF('Cleaned Data'!B20="No",0,1)</f>
        <v>0</v>
      </c>
      <c r="C20" s="4" t="n">
        <f aca="false">IF('Cleaned Data'!C20="Thur",1,IF('Cleaned Data'!C20="Fri",2,IF('Cleaned Data'!C20="Sat",3,4)))</f>
        <v>4</v>
      </c>
      <c r="D20" s="4" t="n">
        <f aca="false">IF('Cleaned Data'!D20="Lunch",0,1)</f>
        <v>1</v>
      </c>
      <c r="E20" s="4" t="n">
        <f aca="false">'Cleaned Data'!E20</f>
        <v>3</v>
      </c>
      <c r="F20" s="4" t="n">
        <f aca="false">'Cleaned Data'!F20</f>
        <v>16.29</v>
      </c>
      <c r="G20" s="4" t="n">
        <f aca="false">'Cleaned Data'!G20</f>
        <v>3.71</v>
      </c>
    </row>
    <row r="21" customFormat="false" ht="15" hidden="false" customHeight="false" outlineLevel="0" collapsed="false">
      <c r="A21" s="3" t="n">
        <f aca="false">IF('Cleaned Data'!A21="Female",0,1)</f>
        <v>0</v>
      </c>
      <c r="B21" s="3" t="n">
        <f aca="false">IF('Cleaned Data'!B21="No",0,1)</f>
        <v>0</v>
      </c>
      <c r="C21" s="3" t="n">
        <f aca="false">IF('Cleaned Data'!C21="Thur",1,IF('Cleaned Data'!C21="Fri",2,IF('Cleaned Data'!C21="Sat",3,4)))</f>
        <v>4</v>
      </c>
      <c r="D21" s="3" t="n">
        <f aca="false">IF('Cleaned Data'!D21="Lunch",0,1)</f>
        <v>1</v>
      </c>
      <c r="E21" s="3" t="n">
        <f aca="false">'Cleaned Data'!E21</f>
        <v>3</v>
      </c>
      <c r="F21" s="3" t="n">
        <f aca="false">'Cleaned Data'!F21</f>
        <v>16.97</v>
      </c>
      <c r="G21" s="3" t="n">
        <f aca="false">'Cleaned Data'!G21</f>
        <v>3.5</v>
      </c>
    </row>
    <row r="22" customFormat="false" ht="15" hidden="false" customHeight="false" outlineLevel="0" collapsed="false">
      <c r="A22" s="4" t="n">
        <f aca="false">IF('Cleaned Data'!A22="Female",0,1)</f>
        <v>1</v>
      </c>
      <c r="B22" s="4" t="n">
        <f aca="false">IF('Cleaned Data'!B22="No",0,1)</f>
        <v>0</v>
      </c>
      <c r="C22" s="4" t="n">
        <f aca="false">IF('Cleaned Data'!C22="Thur",1,IF('Cleaned Data'!C22="Fri",2,IF('Cleaned Data'!C22="Sat",3,4)))</f>
        <v>3</v>
      </c>
      <c r="D22" s="4" t="n">
        <f aca="false">IF('Cleaned Data'!D22="Lunch",0,1)</f>
        <v>1</v>
      </c>
      <c r="E22" s="4" t="n">
        <f aca="false">'Cleaned Data'!E22</f>
        <v>3</v>
      </c>
      <c r="F22" s="4" t="n">
        <f aca="false">'Cleaned Data'!F22</f>
        <v>20.65</v>
      </c>
      <c r="G22" s="4" t="n">
        <f aca="false">'Cleaned Data'!G22</f>
        <v>3.35</v>
      </c>
    </row>
    <row r="23" customFormat="false" ht="15" hidden="false" customHeight="false" outlineLevel="0" collapsed="false">
      <c r="A23" s="3" t="n">
        <f aca="false">IF('Cleaned Data'!A23="Female",0,1)</f>
        <v>1</v>
      </c>
      <c r="B23" s="3" t="n">
        <f aca="false">IF('Cleaned Data'!B23="No",0,1)</f>
        <v>0</v>
      </c>
      <c r="C23" s="3" t="n">
        <f aca="false">IF('Cleaned Data'!C23="Thur",1,IF('Cleaned Data'!C23="Fri",2,IF('Cleaned Data'!C23="Sat",3,4)))</f>
        <v>3</v>
      </c>
      <c r="D23" s="3" t="n">
        <f aca="false">IF('Cleaned Data'!D23="Lunch",0,1)</f>
        <v>1</v>
      </c>
      <c r="E23" s="3" t="n">
        <f aca="false">'Cleaned Data'!E23</f>
        <v>2</v>
      </c>
      <c r="F23" s="3" t="n">
        <f aca="false">'Cleaned Data'!F23</f>
        <v>17.92</v>
      </c>
      <c r="G23" s="3" t="n">
        <f aca="false">'Cleaned Data'!G23</f>
        <v>4.08</v>
      </c>
    </row>
    <row r="24" customFormat="false" ht="15" hidden="false" customHeight="false" outlineLevel="0" collapsed="false">
      <c r="A24" s="4" t="n">
        <f aca="false">IF('Cleaned Data'!A24="Female",0,1)</f>
        <v>0</v>
      </c>
      <c r="B24" s="4" t="n">
        <f aca="false">IF('Cleaned Data'!B24="No",0,1)</f>
        <v>0</v>
      </c>
      <c r="C24" s="4" t="n">
        <f aca="false">IF('Cleaned Data'!C24="Thur",1,IF('Cleaned Data'!C24="Fri",2,IF('Cleaned Data'!C24="Sat",3,4)))</f>
        <v>3</v>
      </c>
      <c r="D24" s="4" t="n">
        <f aca="false">IF('Cleaned Data'!D24="Lunch",0,1)</f>
        <v>1</v>
      </c>
      <c r="E24" s="4" t="n">
        <f aca="false">'Cleaned Data'!E24</f>
        <v>2</v>
      </c>
      <c r="F24" s="4" t="n">
        <f aca="false">'Cleaned Data'!F24</f>
        <v>20.29</v>
      </c>
      <c r="G24" s="4" t="n">
        <f aca="false">'Cleaned Data'!G24</f>
        <v>2.75</v>
      </c>
    </row>
    <row r="25" customFormat="false" ht="15" hidden="false" customHeight="false" outlineLevel="0" collapsed="false">
      <c r="A25" s="3" t="n">
        <f aca="false">IF('Cleaned Data'!A25="Female",0,1)</f>
        <v>0</v>
      </c>
      <c r="B25" s="3" t="n">
        <f aca="false">IF('Cleaned Data'!B25="No",0,1)</f>
        <v>0</v>
      </c>
      <c r="C25" s="3" t="n">
        <f aca="false">IF('Cleaned Data'!C25="Thur",1,IF('Cleaned Data'!C25="Fri",2,IF('Cleaned Data'!C25="Sat",3,4)))</f>
        <v>3</v>
      </c>
      <c r="D25" s="3" t="n">
        <f aca="false">IF('Cleaned Data'!D25="Lunch",0,1)</f>
        <v>1</v>
      </c>
      <c r="E25" s="3" t="n">
        <f aca="false">'Cleaned Data'!E25</f>
        <v>2</v>
      </c>
      <c r="F25" s="3" t="n">
        <f aca="false">'Cleaned Data'!F25</f>
        <v>15.77</v>
      </c>
      <c r="G25" s="3" t="n">
        <f aca="false">'Cleaned Data'!G25</f>
        <v>2.23</v>
      </c>
    </row>
    <row r="26" customFormat="false" ht="15" hidden="false" customHeight="false" outlineLevel="0" collapsed="false">
      <c r="A26" s="4" t="n">
        <f aca="false">IF('Cleaned Data'!A26="Female",0,1)</f>
        <v>1</v>
      </c>
      <c r="B26" s="4" t="n">
        <f aca="false">IF('Cleaned Data'!B26="No",0,1)</f>
        <v>0</v>
      </c>
      <c r="C26" s="4" t="n">
        <f aca="false">IF('Cleaned Data'!C26="Thur",1,IF('Cleaned Data'!C26="Fri",2,IF('Cleaned Data'!C26="Sat",3,4)))</f>
        <v>3</v>
      </c>
      <c r="D26" s="4" t="n">
        <f aca="false">IF('Cleaned Data'!D26="Lunch",0,1)</f>
        <v>1</v>
      </c>
      <c r="E26" s="4" t="n">
        <f aca="false">'Cleaned Data'!E26</f>
        <v>4</v>
      </c>
      <c r="F26" s="4" t="n">
        <f aca="false">'Cleaned Data'!F26</f>
        <v>39.42</v>
      </c>
      <c r="G26" s="4" t="n">
        <f aca="false">'Cleaned Data'!G26</f>
        <v>7.58</v>
      </c>
    </row>
    <row r="27" customFormat="false" ht="15" hidden="false" customHeight="false" outlineLevel="0" collapsed="false">
      <c r="A27" s="3" t="n">
        <f aca="false">IF('Cleaned Data'!A27="Female",0,1)</f>
        <v>1</v>
      </c>
      <c r="B27" s="3" t="n">
        <f aca="false">IF('Cleaned Data'!B27="No",0,1)</f>
        <v>0</v>
      </c>
      <c r="C27" s="3" t="n">
        <f aca="false">IF('Cleaned Data'!C27="Thur",1,IF('Cleaned Data'!C27="Fri",2,IF('Cleaned Data'!C27="Sat",3,4)))</f>
        <v>3</v>
      </c>
      <c r="D27" s="3" t="n">
        <f aca="false">IF('Cleaned Data'!D27="Lunch",0,1)</f>
        <v>1</v>
      </c>
      <c r="E27" s="3" t="n">
        <f aca="false">'Cleaned Data'!E27</f>
        <v>2</v>
      </c>
      <c r="F27" s="3" t="n">
        <f aca="false">'Cleaned Data'!F27</f>
        <v>19.82</v>
      </c>
      <c r="G27" s="3" t="n">
        <f aca="false">'Cleaned Data'!G27</f>
        <v>3.18</v>
      </c>
    </row>
    <row r="28" customFormat="false" ht="15" hidden="false" customHeight="false" outlineLevel="0" collapsed="false">
      <c r="A28" s="4" t="n">
        <f aca="false">IF('Cleaned Data'!A28="Female",0,1)</f>
        <v>1</v>
      </c>
      <c r="B28" s="4" t="n">
        <f aca="false">IF('Cleaned Data'!B28="No",0,1)</f>
        <v>0</v>
      </c>
      <c r="C28" s="4" t="n">
        <f aca="false">IF('Cleaned Data'!C28="Thur",1,IF('Cleaned Data'!C28="Fri",2,IF('Cleaned Data'!C28="Sat",3,4)))</f>
        <v>3</v>
      </c>
      <c r="D28" s="4" t="n">
        <f aca="false">IF('Cleaned Data'!D28="Lunch",0,1)</f>
        <v>1</v>
      </c>
      <c r="E28" s="4" t="n">
        <f aca="false">'Cleaned Data'!E28</f>
        <v>4</v>
      </c>
      <c r="F28" s="4" t="n">
        <f aca="false">'Cleaned Data'!F28</f>
        <v>17.81</v>
      </c>
      <c r="G28" s="4" t="n">
        <f aca="false">'Cleaned Data'!G28</f>
        <v>2.34</v>
      </c>
    </row>
    <row r="29" customFormat="false" ht="15" hidden="false" customHeight="false" outlineLevel="0" collapsed="false">
      <c r="A29" s="3" t="n">
        <f aca="false">IF('Cleaned Data'!A29="Female",0,1)</f>
        <v>1</v>
      </c>
      <c r="B29" s="3" t="n">
        <f aca="false">IF('Cleaned Data'!B29="No",0,1)</f>
        <v>0</v>
      </c>
      <c r="C29" s="3" t="n">
        <f aca="false">IF('Cleaned Data'!C29="Thur",1,IF('Cleaned Data'!C29="Fri",2,IF('Cleaned Data'!C29="Sat",3,4)))</f>
        <v>3</v>
      </c>
      <c r="D29" s="3" t="n">
        <f aca="false">IF('Cleaned Data'!D29="Lunch",0,1)</f>
        <v>1</v>
      </c>
      <c r="E29" s="3" t="n">
        <f aca="false">'Cleaned Data'!E29</f>
        <v>2</v>
      </c>
      <c r="F29" s="3" t="n">
        <f aca="false">'Cleaned Data'!F29</f>
        <v>13.37</v>
      </c>
      <c r="G29" s="3" t="n">
        <f aca="false">'Cleaned Data'!G29</f>
        <v>2</v>
      </c>
    </row>
    <row r="30" customFormat="false" ht="15" hidden="false" customHeight="false" outlineLevel="0" collapsed="false">
      <c r="A30" s="4" t="n">
        <f aca="false">IF('Cleaned Data'!A30="Female",0,1)</f>
        <v>1</v>
      </c>
      <c r="B30" s="4" t="n">
        <f aca="false">IF('Cleaned Data'!B30="No",0,1)</f>
        <v>0</v>
      </c>
      <c r="C30" s="4" t="n">
        <f aca="false">IF('Cleaned Data'!C30="Thur",1,IF('Cleaned Data'!C30="Fri",2,IF('Cleaned Data'!C30="Sat",3,4)))</f>
        <v>3</v>
      </c>
      <c r="D30" s="4" t="n">
        <f aca="false">IF('Cleaned Data'!D30="Lunch",0,1)</f>
        <v>1</v>
      </c>
      <c r="E30" s="4" t="n">
        <f aca="false">'Cleaned Data'!E30</f>
        <v>2</v>
      </c>
      <c r="F30" s="4" t="n">
        <f aca="false">'Cleaned Data'!F30</f>
        <v>12.69</v>
      </c>
      <c r="G30" s="4" t="n">
        <f aca="false">'Cleaned Data'!G30</f>
        <v>2</v>
      </c>
    </row>
    <row r="31" customFormat="false" ht="15" hidden="false" customHeight="false" outlineLevel="0" collapsed="false">
      <c r="A31" s="3" t="n">
        <f aca="false">IF('Cleaned Data'!A31="Female",0,1)</f>
        <v>1</v>
      </c>
      <c r="B31" s="3" t="n">
        <f aca="false">IF('Cleaned Data'!B31="No",0,1)</f>
        <v>0</v>
      </c>
      <c r="C31" s="3" t="n">
        <f aca="false">IF('Cleaned Data'!C31="Thur",1,IF('Cleaned Data'!C31="Fri",2,IF('Cleaned Data'!C31="Sat",3,4)))</f>
        <v>3</v>
      </c>
      <c r="D31" s="3" t="n">
        <f aca="false">IF('Cleaned Data'!D31="Lunch",0,1)</f>
        <v>1</v>
      </c>
      <c r="E31" s="3" t="n">
        <f aca="false">'Cleaned Data'!E31</f>
        <v>2</v>
      </c>
      <c r="F31" s="3" t="n">
        <f aca="false">'Cleaned Data'!F31</f>
        <v>21.7</v>
      </c>
      <c r="G31" s="3" t="n">
        <f aca="false">'Cleaned Data'!G31</f>
        <v>4.3</v>
      </c>
    </row>
    <row r="32" customFormat="false" ht="15" hidden="false" customHeight="false" outlineLevel="0" collapsed="false">
      <c r="A32" s="4" t="n">
        <f aca="false">IF('Cleaned Data'!A32="Female",0,1)</f>
        <v>0</v>
      </c>
      <c r="B32" s="4" t="n">
        <f aca="false">IF('Cleaned Data'!B32="No",0,1)</f>
        <v>0</v>
      </c>
      <c r="C32" s="4" t="n">
        <f aca="false">IF('Cleaned Data'!C32="Thur",1,IF('Cleaned Data'!C32="Fri",2,IF('Cleaned Data'!C32="Sat",3,4)))</f>
        <v>3</v>
      </c>
      <c r="D32" s="4" t="n">
        <f aca="false">IF('Cleaned Data'!D32="Lunch",0,1)</f>
        <v>1</v>
      </c>
      <c r="E32" s="4" t="n">
        <f aca="false">'Cleaned Data'!E32</f>
        <v>2</v>
      </c>
      <c r="F32" s="4" t="n">
        <f aca="false">'Cleaned Data'!F32</f>
        <v>19.65</v>
      </c>
      <c r="G32" s="4" t="n">
        <f aca="false">'Cleaned Data'!G32</f>
        <v>3</v>
      </c>
    </row>
    <row r="33" customFormat="false" ht="15" hidden="false" customHeight="false" outlineLevel="0" collapsed="false">
      <c r="A33" s="3" t="n">
        <f aca="false">IF('Cleaned Data'!A33="Female",0,1)</f>
        <v>1</v>
      </c>
      <c r="B33" s="3" t="n">
        <f aca="false">IF('Cleaned Data'!B33="No",0,1)</f>
        <v>0</v>
      </c>
      <c r="C33" s="3" t="n">
        <f aca="false">IF('Cleaned Data'!C33="Thur",1,IF('Cleaned Data'!C33="Fri",2,IF('Cleaned Data'!C33="Sat",3,4)))</f>
        <v>3</v>
      </c>
      <c r="D33" s="3" t="n">
        <f aca="false">IF('Cleaned Data'!D33="Lunch",0,1)</f>
        <v>1</v>
      </c>
      <c r="E33" s="3" t="n">
        <f aca="false">'Cleaned Data'!E33</f>
        <v>2</v>
      </c>
      <c r="F33" s="3" t="n">
        <f aca="false">'Cleaned Data'!F33</f>
        <v>9.55</v>
      </c>
      <c r="G33" s="3" t="n">
        <f aca="false">'Cleaned Data'!G33</f>
        <v>1.45</v>
      </c>
    </row>
    <row r="34" customFormat="false" ht="15" hidden="false" customHeight="false" outlineLevel="0" collapsed="false">
      <c r="A34" s="4" t="n">
        <f aca="false">IF('Cleaned Data'!A34="Female",0,1)</f>
        <v>1</v>
      </c>
      <c r="B34" s="4" t="n">
        <f aca="false">IF('Cleaned Data'!B34="No",0,1)</f>
        <v>0</v>
      </c>
      <c r="C34" s="4" t="n">
        <f aca="false">IF('Cleaned Data'!C34="Thur",1,IF('Cleaned Data'!C34="Fri",2,IF('Cleaned Data'!C34="Sat",3,4)))</f>
        <v>3</v>
      </c>
      <c r="D34" s="4" t="n">
        <f aca="false">IF('Cleaned Data'!D34="Lunch",0,1)</f>
        <v>1</v>
      </c>
      <c r="E34" s="4" t="n">
        <f aca="false">'Cleaned Data'!E34</f>
        <v>4</v>
      </c>
      <c r="F34" s="4" t="n">
        <f aca="false">'Cleaned Data'!F34</f>
        <v>18.35</v>
      </c>
      <c r="G34" s="4" t="n">
        <f aca="false">'Cleaned Data'!G34</f>
        <v>2.5</v>
      </c>
    </row>
    <row r="35" customFormat="false" ht="15" hidden="false" customHeight="false" outlineLevel="0" collapsed="false">
      <c r="A35" s="3" t="n">
        <f aca="false">IF('Cleaned Data'!A35="Female",0,1)</f>
        <v>0</v>
      </c>
      <c r="B35" s="3" t="n">
        <f aca="false">IF('Cleaned Data'!B35="No",0,1)</f>
        <v>0</v>
      </c>
      <c r="C35" s="3" t="n">
        <f aca="false">IF('Cleaned Data'!C35="Thur",1,IF('Cleaned Data'!C35="Fri",2,IF('Cleaned Data'!C35="Sat",3,4)))</f>
        <v>3</v>
      </c>
      <c r="D35" s="3" t="n">
        <f aca="false">IF('Cleaned Data'!D35="Lunch",0,1)</f>
        <v>1</v>
      </c>
      <c r="E35" s="3" t="n">
        <f aca="false">'Cleaned Data'!E35</f>
        <v>2</v>
      </c>
      <c r="F35" s="3" t="n">
        <f aca="false">'Cleaned Data'!F35</f>
        <v>15.06</v>
      </c>
      <c r="G35" s="3" t="n">
        <f aca="false">'Cleaned Data'!G35</f>
        <v>3</v>
      </c>
    </row>
    <row r="36" customFormat="false" ht="15" hidden="false" customHeight="false" outlineLevel="0" collapsed="false">
      <c r="A36" s="4" t="n">
        <f aca="false">IF('Cleaned Data'!A36="Female",0,1)</f>
        <v>0</v>
      </c>
      <c r="B36" s="4" t="n">
        <f aca="false">IF('Cleaned Data'!B36="No",0,1)</f>
        <v>0</v>
      </c>
      <c r="C36" s="4" t="n">
        <f aca="false">IF('Cleaned Data'!C36="Thur",1,IF('Cleaned Data'!C36="Fri",2,IF('Cleaned Data'!C36="Sat",3,4)))</f>
        <v>3</v>
      </c>
      <c r="D36" s="4" t="n">
        <f aca="false">IF('Cleaned Data'!D36="Lunch",0,1)</f>
        <v>1</v>
      </c>
      <c r="E36" s="4" t="n">
        <f aca="false">'Cleaned Data'!E36</f>
        <v>4</v>
      </c>
      <c r="F36" s="4" t="n">
        <f aca="false">'Cleaned Data'!F36</f>
        <v>20.69</v>
      </c>
      <c r="G36" s="4" t="n">
        <f aca="false">'Cleaned Data'!G36</f>
        <v>2.45</v>
      </c>
    </row>
    <row r="37" customFormat="false" ht="15" hidden="false" customHeight="false" outlineLevel="0" collapsed="false">
      <c r="A37" s="3" t="n">
        <f aca="false">IF('Cleaned Data'!A37="Female",0,1)</f>
        <v>1</v>
      </c>
      <c r="B37" s="3" t="n">
        <f aca="false">IF('Cleaned Data'!B37="No",0,1)</f>
        <v>0</v>
      </c>
      <c r="C37" s="3" t="n">
        <f aca="false">IF('Cleaned Data'!C37="Thur",1,IF('Cleaned Data'!C37="Fri",2,IF('Cleaned Data'!C37="Sat",3,4)))</f>
        <v>3</v>
      </c>
      <c r="D37" s="3" t="n">
        <f aca="false">IF('Cleaned Data'!D37="Lunch",0,1)</f>
        <v>1</v>
      </c>
      <c r="E37" s="3" t="n">
        <f aca="false">'Cleaned Data'!E37</f>
        <v>2</v>
      </c>
      <c r="F37" s="3" t="n">
        <f aca="false">'Cleaned Data'!F37</f>
        <v>17.78</v>
      </c>
      <c r="G37" s="3" t="n">
        <f aca="false">'Cleaned Data'!G37</f>
        <v>3.27</v>
      </c>
    </row>
    <row r="38" customFormat="false" ht="15" hidden="false" customHeight="false" outlineLevel="0" collapsed="false">
      <c r="A38" s="4" t="n">
        <f aca="false">IF('Cleaned Data'!A38="Female",0,1)</f>
        <v>1</v>
      </c>
      <c r="B38" s="4" t="n">
        <f aca="false">IF('Cleaned Data'!B38="No",0,1)</f>
        <v>0</v>
      </c>
      <c r="C38" s="4" t="n">
        <f aca="false">IF('Cleaned Data'!C38="Thur",1,IF('Cleaned Data'!C38="Fri",2,IF('Cleaned Data'!C38="Sat",3,4)))</f>
        <v>3</v>
      </c>
      <c r="D38" s="4" t="n">
        <f aca="false">IF('Cleaned Data'!D38="Lunch",0,1)</f>
        <v>1</v>
      </c>
      <c r="E38" s="4" t="n">
        <f aca="false">'Cleaned Data'!E38</f>
        <v>3</v>
      </c>
      <c r="F38" s="4" t="n">
        <f aca="false">'Cleaned Data'!F38</f>
        <v>24.06</v>
      </c>
      <c r="G38" s="4" t="n">
        <f aca="false">'Cleaned Data'!G38</f>
        <v>3.6</v>
      </c>
    </row>
    <row r="39" customFormat="false" ht="15" hidden="false" customHeight="false" outlineLevel="0" collapsed="false">
      <c r="A39" s="3" t="n">
        <f aca="false">IF('Cleaned Data'!A39="Female",0,1)</f>
        <v>1</v>
      </c>
      <c r="B39" s="3" t="n">
        <f aca="false">IF('Cleaned Data'!B39="No",0,1)</f>
        <v>0</v>
      </c>
      <c r="C39" s="3" t="n">
        <f aca="false">IF('Cleaned Data'!C39="Thur",1,IF('Cleaned Data'!C39="Fri",2,IF('Cleaned Data'!C39="Sat",3,4)))</f>
        <v>3</v>
      </c>
      <c r="D39" s="3" t="n">
        <f aca="false">IF('Cleaned Data'!D39="Lunch",0,1)</f>
        <v>1</v>
      </c>
      <c r="E39" s="3" t="n">
        <f aca="false">'Cleaned Data'!E39</f>
        <v>3</v>
      </c>
      <c r="F39" s="3" t="n">
        <f aca="false">'Cleaned Data'!F39</f>
        <v>16.31</v>
      </c>
      <c r="G39" s="3" t="n">
        <f aca="false">'Cleaned Data'!G39</f>
        <v>2</v>
      </c>
    </row>
    <row r="40" customFormat="false" ht="15" hidden="false" customHeight="false" outlineLevel="0" collapsed="false">
      <c r="A40" s="4" t="n">
        <f aca="false">IF('Cleaned Data'!A40="Female",0,1)</f>
        <v>0</v>
      </c>
      <c r="B40" s="4" t="n">
        <f aca="false">IF('Cleaned Data'!B40="No",0,1)</f>
        <v>0</v>
      </c>
      <c r="C40" s="4" t="n">
        <f aca="false">IF('Cleaned Data'!C40="Thur",1,IF('Cleaned Data'!C40="Fri",2,IF('Cleaned Data'!C40="Sat",3,4)))</f>
        <v>3</v>
      </c>
      <c r="D40" s="4" t="n">
        <f aca="false">IF('Cleaned Data'!D40="Lunch",0,1)</f>
        <v>1</v>
      </c>
      <c r="E40" s="4" t="n">
        <f aca="false">'Cleaned Data'!E40</f>
        <v>3</v>
      </c>
      <c r="F40" s="4" t="n">
        <f aca="false">'Cleaned Data'!F40</f>
        <v>16.93</v>
      </c>
      <c r="G40" s="4" t="n">
        <f aca="false">'Cleaned Data'!G40</f>
        <v>3.07</v>
      </c>
    </row>
    <row r="41" customFormat="false" ht="15" hidden="false" customHeight="false" outlineLevel="0" collapsed="false">
      <c r="A41" s="3" t="n">
        <f aca="false">IF('Cleaned Data'!A41="Female",0,1)</f>
        <v>1</v>
      </c>
      <c r="B41" s="3" t="n">
        <f aca="false">IF('Cleaned Data'!B41="No",0,1)</f>
        <v>0</v>
      </c>
      <c r="C41" s="3" t="n">
        <f aca="false">IF('Cleaned Data'!C41="Thur",1,IF('Cleaned Data'!C41="Fri",2,IF('Cleaned Data'!C41="Sat",3,4)))</f>
        <v>3</v>
      </c>
      <c r="D41" s="3" t="n">
        <f aca="false">IF('Cleaned Data'!D41="Lunch",0,1)</f>
        <v>1</v>
      </c>
      <c r="E41" s="3" t="n">
        <f aca="false">'Cleaned Data'!E41</f>
        <v>3</v>
      </c>
      <c r="F41" s="3" t="n">
        <f aca="false">'Cleaned Data'!F41</f>
        <v>18.69</v>
      </c>
      <c r="G41" s="3" t="n">
        <f aca="false">'Cleaned Data'!G41</f>
        <v>2.31</v>
      </c>
    </row>
    <row r="42" customFormat="false" ht="15" hidden="false" customHeight="false" outlineLevel="0" collapsed="false">
      <c r="A42" s="4" t="n">
        <f aca="false">IF('Cleaned Data'!A42="Female",0,1)</f>
        <v>1</v>
      </c>
      <c r="B42" s="4" t="n">
        <f aca="false">IF('Cleaned Data'!B42="No",0,1)</f>
        <v>0</v>
      </c>
      <c r="C42" s="4" t="n">
        <f aca="false">IF('Cleaned Data'!C42="Thur",1,IF('Cleaned Data'!C42="Fri",2,IF('Cleaned Data'!C42="Sat",3,4)))</f>
        <v>3</v>
      </c>
      <c r="D42" s="4" t="n">
        <f aca="false">IF('Cleaned Data'!D42="Lunch",0,1)</f>
        <v>1</v>
      </c>
      <c r="E42" s="4" t="n">
        <f aca="false">'Cleaned Data'!E42</f>
        <v>3</v>
      </c>
      <c r="F42" s="4" t="n">
        <f aca="false">'Cleaned Data'!F42</f>
        <v>31.27</v>
      </c>
      <c r="G42" s="4" t="n">
        <f aca="false">'Cleaned Data'!G42</f>
        <v>5</v>
      </c>
    </row>
    <row r="43" customFormat="false" ht="15" hidden="false" customHeight="false" outlineLevel="0" collapsed="false">
      <c r="A43" s="3" t="n">
        <f aca="false">IF('Cleaned Data'!A43="Female",0,1)</f>
        <v>1</v>
      </c>
      <c r="B43" s="3" t="n">
        <f aca="false">IF('Cleaned Data'!B43="No",0,1)</f>
        <v>0</v>
      </c>
      <c r="C43" s="3" t="n">
        <f aca="false">IF('Cleaned Data'!C43="Thur",1,IF('Cleaned Data'!C43="Fri",2,IF('Cleaned Data'!C43="Sat",3,4)))</f>
        <v>3</v>
      </c>
      <c r="D43" s="3" t="n">
        <f aca="false">IF('Cleaned Data'!D43="Lunch",0,1)</f>
        <v>1</v>
      </c>
      <c r="E43" s="3" t="n">
        <f aca="false">'Cleaned Data'!E43</f>
        <v>3</v>
      </c>
      <c r="F43" s="3" t="n">
        <f aca="false">'Cleaned Data'!F43</f>
        <v>16.04</v>
      </c>
      <c r="G43" s="3" t="n">
        <f aca="false">'Cleaned Data'!G43</f>
        <v>2.24</v>
      </c>
    </row>
    <row r="44" customFormat="false" ht="15" hidden="false" customHeight="false" outlineLevel="0" collapsed="false">
      <c r="A44" s="4" t="n">
        <f aca="false">IF('Cleaned Data'!A44="Female",0,1)</f>
        <v>1</v>
      </c>
      <c r="B44" s="4" t="n">
        <f aca="false">IF('Cleaned Data'!B44="No",0,1)</f>
        <v>0</v>
      </c>
      <c r="C44" s="4" t="n">
        <f aca="false">IF('Cleaned Data'!C44="Thur",1,IF('Cleaned Data'!C44="Fri",2,IF('Cleaned Data'!C44="Sat",3,4)))</f>
        <v>4</v>
      </c>
      <c r="D44" s="4" t="n">
        <f aca="false">IF('Cleaned Data'!D44="Lunch",0,1)</f>
        <v>1</v>
      </c>
      <c r="E44" s="4" t="n">
        <f aca="false">'Cleaned Data'!E44</f>
        <v>2</v>
      </c>
      <c r="F44" s="4" t="n">
        <f aca="false">'Cleaned Data'!F44</f>
        <v>17.46</v>
      </c>
      <c r="G44" s="4" t="n">
        <f aca="false">'Cleaned Data'!G44</f>
        <v>2.54</v>
      </c>
    </row>
    <row r="45" customFormat="false" ht="15" hidden="false" customHeight="false" outlineLevel="0" collapsed="false">
      <c r="A45" s="3" t="n">
        <f aca="false">IF('Cleaned Data'!A45="Female",0,1)</f>
        <v>1</v>
      </c>
      <c r="B45" s="3" t="n">
        <f aca="false">IF('Cleaned Data'!B45="No",0,1)</f>
        <v>0</v>
      </c>
      <c r="C45" s="3" t="n">
        <f aca="false">IF('Cleaned Data'!C45="Thur",1,IF('Cleaned Data'!C45="Fri",2,IF('Cleaned Data'!C45="Sat",3,4)))</f>
        <v>4</v>
      </c>
      <c r="D45" s="3" t="n">
        <f aca="false">IF('Cleaned Data'!D45="Lunch",0,1)</f>
        <v>1</v>
      </c>
      <c r="E45" s="3" t="n">
        <f aca="false">'Cleaned Data'!E45</f>
        <v>2</v>
      </c>
      <c r="F45" s="3" t="n">
        <f aca="false">'Cleaned Data'!F45</f>
        <v>13.94</v>
      </c>
      <c r="G45" s="3" t="n">
        <f aca="false">'Cleaned Data'!G45</f>
        <v>3.06</v>
      </c>
    </row>
    <row r="46" customFormat="false" ht="15" hidden="false" customHeight="false" outlineLevel="0" collapsed="false">
      <c r="A46" s="4" t="n">
        <f aca="false">IF('Cleaned Data'!A46="Female",0,1)</f>
        <v>1</v>
      </c>
      <c r="B46" s="4" t="n">
        <f aca="false">IF('Cleaned Data'!B46="No",0,1)</f>
        <v>0</v>
      </c>
      <c r="C46" s="4" t="n">
        <f aca="false">IF('Cleaned Data'!C46="Thur",1,IF('Cleaned Data'!C46="Fri",2,IF('Cleaned Data'!C46="Sat",3,4)))</f>
        <v>4</v>
      </c>
      <c r="D46" s="4" t="n">
        <f aca="false">IF('Cleaned Data'!D46="Lunch",0,1)</f>
        <v>1</v>
      </c>
      <c r="E46" s="4" t="n">
        <f aca="false">'Cleaned Data'!E46</f>
        <v>2</v>
      </c>
      <c r="F46" s="4" t="n">
        <f aca="false">'Cleaned Data'!F46</f>
        <v>9.68</v>
      </c>
      <c r="G46" s="4" t="n">
        <f aca="false">'Cleaned Data'!G46</f>
        <v>1.32</v>
      </c>
    </row>
    <row r="47" customFormat="false" ht="15" hidden="false" customHeight="false" outlineLevel="0" collapsed="false">
      <c r="A47" s="3" t="n">
        <f aca="false">IF('Cleaned Data'!A47="Female",0,1)</f>
        <v>1</v>
      </c>
      <c r="B47" s="3" t="n">
        <f aca="false">IF('Cleaned Data'!B47="No",0,1)</f>
        <v>0</v>
      </c>
      <c r="C47" s="3" t="n">
        <f aca="false">IF('Cleaned Data'!C47="Thur",1,IF('Cleaned Data'!C47="Fri",2,IF('Cleaned Data'!C47="Sat",3,4)))</f>
        <v>4</v>
      </c>
      <c r="D47" s="3" t="n">
        <f aca="false">IF('Cleaned Data'!D47="Lunch",0,1)</f>
        <v>1</v>
      </c>
      <c r="E47" s="3" t="n">
        <f aca="false">'Cleaned Data'!E47</f>
        <v>4</v>
      </c>
      <c r="F47" s="3" t="n">
        <f aca="false">'Cleaned Data'!F47</f>
        <v>30.4</v>
      </c>
      <c r="G47" s="3" t="n">
        <f aca="false">'Cleaned Data'!G47</f>
        <v>5.6</v>
      </c>
    </row>
    <row r="48" customFormat="false" ht="15" hidden="false" customHeight="false" outlineLevel="0" collapsed="false">
      <c r="A48" s="4" t="n">
        <f aca="false">IF('Cleaned Data'!A48="Female",0,1)</f>
        <v>1</v>
      </c>
      <c r="B48" s="4" t="n">
        <f aca="false">IF('Cleaned Data'!B48="No",0,1)</f>
        <v>0</v>
      </c>
      <c r="C48" s="4" t="n">
        <f aca="false">IF('Cleaned Data'!C48="Thur",1,IF('Cleaned Data'!C48="Fri",2,IF('Cleaned Data'!C48="Sat",3,4)))</f>
        <v>4</v>
      </c>
      <c r="D48" s="4" t="n">
        <f aca="false">IF('Cleaned Data'!D48="Lunch",0,1)</f>
        <v>1</v>
      </c>
      <c r="E48" s="4" t="n">
        <f aca="false">'Cleaned Data'!E48</f>
        <v>2</v>
      </c>
      <c r="F48" s="4" t="n">
        <f aca="false">'Cleaned Data'!F48</f>
        <v>18.29</v>
      </c>
      <c r="G48" s="4" t="n">
        <f aca="false">'Cleaned Data'!G48</f>
        <v>3</v>
      </c>
    </row>
    <row r="49" customFormat="false" ht="15" hidden="false" customHeight="false" outlineLevel="0" collapsed="false">
      <c r="A49" s="3" t="n">
        <f aca="false">IF('Cleaned Data'!A49="Female",0,1)</f>
        <v>1</v>
      </c>
      <c r="B49" s="3" t="n">
        <f aca="false">IF('Cleaned Data'!B49="No",0,1)</f>
        <v>0</v>
      </c>
      <c r="C49" s="3" t="n">
        <f aca="false">IF('Cleaned Data'!C49="Thur",1,IF('Cleaned Data'!C49="Fri",2,IF('Cleaned Data'!C49="Sat",3,4)))</f>
        <v>4</v>
      </c>
      <c r="D49" s="3" t="n">
        <f aca="false">IF('Cleaned Data'!D49="Lunch",0,1)</f>
        <v>1</v>
      </c>
      <c r="E49" s="3" t="n">
        <f aca="false">'Cleaned Data'!E49</f>
        <v>2</v>
      </c>
      <c r="F49" s="3" t="n">
        <f aca="false">'Cleaned Data'!F49</f>
        <v>22.23</v>
      </c>
      <c r="G49" s="3" t="n">
        <f aca="false">'Cleaned Data'!G49</f>
        <v>5</v>
      </c>
    </row>
    <row r="50" customFormat="false" ht="15" hidden="false" customHeight="false" outlineLevel="0" collapsed="false">
      <c r="A50" s="4" t="n">
        <f aca="false">IF('Cleaned Data'!A50="Female",0,1)</f>
        <v>1</v>
      </c>
      <c r="B50" s="4" t="n">
        <f aca="false">IF('Cleaned Data'!B50="No",0,1)</f>
        <v>0</v>
      </c>
      <c r="C50" s="4" t="n">
        <f aca="false">IF('Cleaned Data'!C50="Thur",1,IF('Cleaned Data'!C50="Fri",2,IF('Cleaned Data'!C50="Sat",3,4)))</f>
        <v>4</v>
      </c>
      <c r="D50" s="4" t="n">
        <f aca="false">IF('Cleaned Data'!D50="Lunch",0,1)</f>
        <v>1</v>
      </c>
      <c r="E50" s="4" t="n">
        <f aca="false">'Cleaned Data'!E50</f>
        <v>4</v>
      </c>
      <c r="F50" s="4" t="n">
        <f aca="false">'Cleaned Data'!F50</f>
        <v>32.4</v>
      </c>
      <c r="G50" s="4" t="n">
        <f aca="false">'Cleaned Data'!G50</f>
        <v>6</v>
      </c>
    </row>
    <row r="51" customFormat="false" ht="15" hidden="false" customHeight="false" outlineLevel="0" collapsed="false">
      <c r="A51" s="3" t="n">
        <f aca="false">IF('Cleaned Data'!A51="Female",0,1)</f>
        <v>1</v>
      </c>
      <c r="B51" s="3" t="n">
        <f aca="false">IF('Cleaned Data'!B51="No",0,1)</f>
        <v>0</v>
      </c>
      <c r="C51" s="3" t="n">
        <f aca="false">IF('Cleaned Data'!C51="Thur",1,IF('Cleaned Data'!C51="Fri",2,IF('Cleaned Data'!C51="Sat",3,4)))</f>
        <v>4</v>
      </c>
      <c r="D51" s="3" t="n">
        <f aca="false">IF('Cleaned Data'!D51="Lunch",0,1)</f>
        <v>1</v>
      </c>
      <c r="E51" s="3" t="n">
        <f aca="false">'Cleaned Data'!E51</f>
        <v>3</v>
      </c>
      <c r="F51" s="3" t="n">
        <f aca="false">'Cleaned Data'!F51</f>
        <v>28.55</v>
      </c>
      <c r="G51" s="3" t="n">
        <f aca="false">'Cleaned Data'!G51</f>
        <v>2.05</v>
      </c>
    </row>
    <row r="52" customFormat="false" ht="15" hidden="false" customHeight="false" outlineLevel="0" collapsed="false">
      <c r="A52" s="4" t="n">
        <f aca="false">IF('Cleaned Data'!A52="Female",0,1)</f>
        <v>1</v>
      </c>
      <c r="B52" s="4" t="n">
        <f aca="false">IF('Cleaned Data'!B52="No",0,1)</f>
        <v>0</v>
      </c>
      <c r="C52" s="4" t="n">
        <f aca="false">IF('Cleaned Data'!C52="Thur",1,IF('Cleaned Data'!C52="Fri",2,IF('Cleaned Data'!C52="Sat",3,4)))</f>
        <v>4</v>
      </c>
      <c r="D52" s="4" t="n">
        <f aca="false">IF('Cleaned Data'!D52="Lunch",0,1)</f>
        <v>1</v>
      </c>
      <c r="E52" s="4" t="n">
        <f aca="false">'Cleaned Data'!E52</f>
        <v>2</v>
      </c>
      <c r="F52" s="4" t="n">
        <f aca="false">'Cleaned Data'!F52</f>
        <v>18.04</v>
      </c>
      <c r="G52" s="4" t="n">
        <f aca="false">'Cleaned Data'!G52</f>
        <v>3</v>
      </c>
    </row>
    <row r="53" customFormat="false" ht="15" hidden="false" customHeight="false" outlineLevel="0" collapsed="false">
      <c r="A53" s="3" t="n">
        <f aca="false">IF('Cleaned Data'!A53="Female",0,1)</f>
        <v>1</v>
      </c>
      <c r="B53" s="3" t="n">
        <f aca="false">IF('Cleaned Data'!B53="No",0,1)</f>
        <v>0</v>
      </c>
      <c r="C53" s="3" t="n">
        <f aca="false">IF('Cleaned Data'!C53="Thur",1,IF('Cleaned Data'!C53="Fri",2,IF('Cleaned Data'!C53="Sat",3,4)))</f>
        <v>4</v>
      </c>
      <c r="D53" s="3" t="n">
        <f aca="false">IF('Cleaned Data'!D53="Lunch",0,1)</f>
        <v>1</v>
      </c>
      <c r="E53" s="3" t="n">
        <f aca="false">'Cleaned Data'!E53</f>
        <v>2</v>
      </c>
      <c r="F53" s="3" t="n">
        <f aca="false">'Cleaned Data'!F53</f>
        <v>12.54</v>
      </c>
      <c r="G53" s="3" t="n">
        <f aca="false">'Cleaned Data'!G53</f>
        <v>2.5</v>
      </c>
    </row>
    <row r="54" customFormat="false" ht="15" hidden="false" customHeight="false" outlineLevel="0" collapsed="false">
      <c r="A54" s="4" t="n">
        <f aca="false">IF('Cleaned Data'!A54="Female",0,1)</f>
        <v>0</v>
      </c>
      <c r="B54" s="4" t="n">
        <f aca="false">IF('Cleaned Data'!B54="No",0,1)</f>
        <v>0</v>
      </c>
      <c r="C54" s="4" t="n">
        <f aca="false">IF('Cleaned Data'!C54="Thur",1,IF('Cleaned Data'!C54="Fri",2,IF('Cleaned Data'!C54="Sat",3,4)))</f>
        <v>4</v>
      </c>
      <c r="D54" s="4" t="n">
        <f aca="false">IF('Cleaned Data'!D54="Lunch",0,1)</f>
        <v>1</v>
      </c>
      <c r="E54" s="4" t="n">
        <f aca="false">'Cleaned Data'!E54</f>
        <v>2</v>
      </c>
      <c r="F54" s="4" t="n">
        <f aca="false">'Cleaned Data'!F54</f>
        <v>10.29</v>
      </c>
      <c r="G54" s="4" t="n">
        <f aca="false">'Cleaned Data'!G54</f>
        <v>2.6</v>
      </c>
    </row>
    <row r="55" customFormat="false" ht="15" hidden="false" customHeight="false" outlineLevel="0" collapsed="false">
      <c r="A55" s="3" t="n">
        <f aca="false">IF('Cleaned Data'!A55="Female",0,1)</f>
        <v>0</v>
      </c>
      <c r="B55" s="3" t="n">
        <f aca="false">IF('Cleaned Data'!B55="No",0,1)</f>
        <v>0</v>
      </c>
      <c r="C55" s="3" t="n">
        <f aca="false">IF('Cleaned Data'!C55="Thur",1,IF('Cleaned Data'!C55="Fri",2,IF('Cleaned Data'!C55="Sat",3,4)))</f>
        <v>4</v>
      </c>
      <c r="D55" s="3" t="n">
        <f aca="false">IF('Cleaned Data'!D55="Lunch",0,1)</f>
        <v>1</v>
      </c>
      <c r="E55" s="3" t="n">
        <f aca="false">'Cleaned Data'!E55</f>
        <v>4</v>
      </c>
      <c r="F55" s="3" t="n">
        <f aca="false">'Cleaned Data'!F55</f>
        <v>34.81</v>
      </c>
      <c r="G55" s="3" t="n">
        <f aca="false">'Cleaned Data'!G55</f>
        <v>5.2</v>
      </c>
    </row>
    <row r="56" customFormat="false" ht="15" hidden="false" customHeight="false" outlineLevel="0" collapsed="false">
      <c r="A56" s="4" t="n">
        <f aca="false">IF('Cleaned Data'!A56="Female",0,1)</f>
        <v>1</v>
      </c>
      <c r="B56" s="4" t="n">
        <f aca="false">IF('Cleaned Data'!B56="No",0,1)</f>
        <v>0</v>
      </c>
      <c r="C56" s="4" t="n">
        <f aca="false">IF('Cleaned Data'!C56="Thur",1,IF('Cleaned Data'!C56="Fri",2,IF('Cleaned Data'!C56="Sat",3,4)))</f>
        <v>4</v>
      </c>
      <c r="D56" s="4" t="n">
        <f aca="false">IF('Cleaned Data'!D56="Lunch",0,1)</f>
        <v>1</v>
      </c>
      <c r="E56" s="4" t="n">
        <f aca="false">'Cleaned Data'!E56</f>
        <v>2</v>
      </c>
      <c r="F56" s="4" t="n">
        <f aca="false">'Cleaned Data'!F56</f>
        <v>9.94</v>
      </c>
      <c r="G56" s="4" t="n">
        <f aca="false">'Cleaned Data'!G56</f>
        <v>1.56</v>
      </c>
    </row>
    <row r="57" customFormat="false" ht="15" hidden="false" customHeight="false" outlineLevel="0" collapsed="false">
      <c r="A57" s="3" t="n">
        <f aca="false">IF('Cleaned Data'!A57="Female",0,1)</f>
        <v>1</v>
      </c>
      <c r="B57" s="3" t="n">
        <f aca="false">IF('Cleaned Data'!B57="No",0,1)</f>
        <v>0</v>
      </c>
      <c r="C57" s="3" t="n">
        <f aca="false">IF('Cleaned Data'!C57="Thur",1,IF('Cleaned Data'!C57="Fri",2,IF('Cleaned Data'!C57="Sat",3,4)))</f>
        <v>4</v>
      </c>
      <c r="D57" s="3" t="n">
        <f aca="false">IF('Cleaned Data'!D57="Lunch",0,1)</f>
        <v>1</v>
      </c>
      <c r="E57" s="3" t="n">
        <f aca="false">'Cleaned Data'!E57</f>
        <v>4</v>
      </c>
      <c r="F57" s="3" t="n">
        <f aca="false">'Cleaned Data'!F57</f>
        <v>25.56</v>
      </c>
      <c r="G57" s="3" t="n">
        <f aca="false">'Cleaned Data'!G57</f>
        <v>4.34</v>
      </c>
    </row>
    <row r="58" customFormat="false" ht="15" hidden="false" customHeight="false" outlineLevel="0" collapsed="false">
      <c r="A58" s="4" t="n">
        <f aca="false">IF('Cleaned Data'!A58="Female",0,1)</f>
        <v>1</v>
      </c>
      <c r="B58" s="4" t="n">
        <f aca="false">IF('Cleaned Data'!B58="No",0,1)</f>
        <v>0</v>
      </c>
      <c r="C58" s="4" t="n">
        <f aca="false">IF('Cleaned Data'!C58="Thur",1,IF('Cleaned Data'!C58="Fri",2,IF('Cleaned Data'!C58="Sat",3,4)))</f>
        <v>4</v>
      </c>
      <c r="D58" s="4" t="n">
        <f aca="false">IF('Cleaned Data'!D58="Lunch",0,1)</f>
        <v>1</v>
      </c>
      <c r="E58" s="4" t="n">
        <f aca="false">'Cleaned Data'!E58</f>
        <v>2</v>
      </c>
      <c r="F58" s="4" t="n">
        <f aca="false">'Cleaned Data'!F58</f>
        <v>19.49</v>
      </c>
      <c r="G58" s="4" t="n">
        <f aca="false">'Cleaned Data'!G58</f>
        <v>3.51</v>
      </c>
    </row>
    <row r="59" customFormat="false" ht="15" hidden="false" customHeight="false" outlineLevel="0" collapsed="false">
      <c r="A59" s="3" t="n">
        <f aca="false">IF('Cleaned Data'!A59="Female",0,1)</f>
        <v>1</v>
      </c>
      <c r="B59" s="3" t="n">
        <f aca="false">IF('Cleaned Data'!B59="No",0,1)</f>
        <v>1</v>
      </c>
      <c r="C59" s="3" t="n">
        <f aca="false">IF('Cleaned Data'!C59="Thur",1,IF('Cleaned Data'!C59="Fri",2,IF('Cleaned Data'!C59="Sat",3,4)))</f>
        <v>3</v>
      </c>
      <c r="D59" s="3" t="n">
        <f aca="false">IF('Cleaned Data'!D59="Lunch",0,1)</f>
        <v>1</v>
      </c>
      <c r="E59" s="3" t="n">
        <f aca="false">'Cleaned Data'!E59</f>
        <v>4</v>
      </c>
      <c r="F59" s="3" t="n">
        <f aca="false">'Cleaned Data'!F59</f>
        <v>38.01</v>
      </c>
      <c r="G59" s="3" t="n">
        <f aca="false">'Cleaned Data'!G59</f>
        <v>3</v>
      </c>
    </row>
    <row r="60" customFormat="false" ht="15" hidden="false" customHeight="false" outlineLevel="0" collapsed="false">
      <c r="A60" s="4" t="n">
        <f aca="false">IF('Cleaned Data'!A60="Female",0,1)</f>
        <v>0</v>
      </c>
      <c r="B60" s="4" t="n">
        <f aca="false">IF('Cleaned Data'!B60="No",0,1)</f>
        <v>0</v>
      </c>
      <c r="C60" s="4" t="n">
        <f aca="false">IF('Cleaned Data'!C60="Thur",1,IF('Cleaned Data'!C60="Fri",2,IF('Cleaned Data'!C60="Sat",3,4)))</f>
        <v>3</v>
      </c>
      <c r="D60" s="4" t="n">
        <f aca="false">IF('Cleaned Data'!D60="Lunch",0,1)</f>
        <v>1</v>
      </c>
      <c r="E60" s="4" t="n">
        <f aca="false">'Cleaned Data'!E60</f>
        <v>2</v>
      </c>
      <c r="F60" s="4" t="n">
        <f aca="false">'Cleaned Data'!F60</f>
        <v>26.41</v>
      </c>
      <c r="G60" s="4" t="n">
        <f aca="false">'Cleaned Data'!G60</f>
        <v>1.5</v>
      </c>
    </row>
    <row r="61" customFormat="false" ht="15" hidden="false" customHeight="false" outlineLevel="0" collapsed="false">
      <c r="A61" s="3" t="n">
        <f aca="false">IF('Cleaned Data'!A61="Female",0,1)</f>
        <v>1</v>
      </c>
      <c r="B61" s="3" t="n">
        <f aca="false">IF('Cleaned Data'!B61="No",0,1)</f>
        <v>1</v>
      </c>
      <c r="C61" s="3" t="n">
        <f aca="false">IF('Cleaned Data'!C61="Thur",1,IF('Cleaned Data'!C61="Fri",2,IF('Cleaned Data'!C61="Sat",3,4)))</f>
        <v>3</v>
      </c>
      <c r="D61" s="3" t="n">
        <f aca="false">IF('Cleaned Data'!D61="Lunch",0,1)</f>
        <v>1</v>
      </c>
      <c r="E61" s="3" t="n">
        <f aca="false">'Cleaned Data'!E61</f>
        <v>2</v>
      </c>
      <c r="F61" s="3" t="n">
        <f aca="false">'Cleaned Data'!F61</f>
        <v>11.24</v>
      </c>
      <c r="G61" s="3" t="n">
        <f aca="false">'Cleaned Data'!G61</f>
        <v>1.76</v>
      </c>
    </row>
    <row r="62" customFormat="false" ht="15" hidden="false" customHeight="false" outlineLevel="0" collapsed="false">
      <c r="A62" s="4" t="n">
        <f aca="false">IF('Cleaned Data'!A62="Female",0,1)</f>
        <v>1</v>
      </c>
      <c r="B62" s="4" t="n">
        <f aca="false">IF('Cleaned Data'!B62="No",0,1)</f>
        <v>0</v>
      </c>
      <c r="C62" s="4" t="n">
        <f aca="false">IF('Cleaned Data'!C62="Thur",1,IF('Cleaned Data'!C62="Fri",2,IF('Cleaned Data'!C62="Sat",3,4)))</f>
        <v>3</v>
      </c>
      <c r="D62" s="4" t="n">
        <f aca="false">IF('Cleaned Data'!D62="Lunch",0,1)</f>
        <v>1</v>
      </c>
      <c r="E62" s="4" t="n">
        <f aca="false">'Cleaned Data'!E62</f>
        <v>4</v>
      </c>
      <c r="F62" s="4" t="n">
        <f aca="false">'Cleaned Data'!F62</f>
        <v>48.27</v>
      </c>
      <c r="G62" s="4" t="n">
        <f aca="false">'Cleaned Data'!G62</f>
        <v>6.73</v>
      </c>
    </row>
    <row r="63" customFormat="false" ht="15" hidden="false" customHeight="false" outlineLevel="0" collapsed="false">
      <c r="A63" s="3" t="n">
        <f aca="false">IF('Cleaned Data'!A63="Female",0,1)</f>
        <v>1</v>
      </c>
      <c r="B63" s="3" t="n">
        <f aca="false">IF('Cleaned Data'!B63="No",0,1)</f>
        <v>1</v>
      </c>
      <c r="C63" s="3" t="n">
        <f aca="false">IF('Cleaned Data'!C63="Thur",1,IF('Cleaned Data'!C63="Fri",2,IF('Cleaned Data'!C63="Sat",3,4)))</f>
        <v>3</v>
      </c>
      <c r="D63" s="3" t="n">
        <f aca="false">IF('Cleaned Data'!D63="Lunch",0,1)</f>
        <v>1</v>
      </c>
      <c r="E63" s="3" t="n">
        <f aca="false">'Cleaned Data'!E63</f>
        <v>2</v>
      </c>
      <c r="F63" s="3" t="n">
        <f aca="false">'Cleaned Data'!F63</f>
        <v>20.29</v>
      </c>
      <c r="G63" s="3" t="n">
        <f aca="false">'Cleaned Data'!G63</f>
        <v>3.21</v>
      </c>
    </row>
    <row r="64" customFormat="false" ht="15" hidden="false" customHeight="false" outlineLevel="0" collapsed="false">
      <c r="A64" s="4" t="n">
        <f aca="false">IF('Cleaned Data'!A64="Female",0,1)</f>
        <v>1</v>
      </c>
      <c r="B64" s="4" t="n">
        <f aca="false">IF('Cleaned Data'!B64="No",0,1)</f>
        <v>1</v>
      </c>
      <c r="C64" s="4" t="n">
        <f aca="false">IF('Cleaned Data'!C64="Thur",1,IF('Cleaned Data'!C64="Fri",2,IF('Cleaned Data'!C64="Sat",3,4)))</f>
        <v>3</v>
      </c>
      <c r="D64" s="4" t="n">
        <f aca="false">IF('Cleaned Data'!D64="Lunch",0,1)</f>
        <v>1</v>
      </c>
      <c r="E64" s="4" t="n">
        <f aca="false">'Cleaned Data'!E64</f>
        <v>2</v>
      </c>
      <c r="F64" s="4" t="n">
        <f aca="false">'Cleaned Data'!F64</f>
        <v>13.81</v>
      </c>
      <c r="G64" s="4" t="n">
        <f aca="false">'Cleaned Data'!G64</f>
        <v>2</v>
      </c>
    </row>
    <row r="65" customFormat="false" ht="15" hidden="false" customHeight="false" outlineLevel="0" collapsed="false">
      <c r="A65" s="3" t="n">
        <f aca="false">IF('Cleaned Data'!A65="Female",0,1)</f>
        <v>1</v>
      </c>
      <c r="B65" s="3" t="n">
        <f aca="false">IF('Cleaned Data'!B65="No",0,1)</f>
        <v>1</v>
      </c>
      <c r="C65" s="3" t="n">
        <f aca="false">IF('Cleaned Data'!C65="Thur",1,IF('Cleaned Data'!C65="Fri",2,IF('Cleaned Data'!C65="Sat",3,4)))</f>
        <v>3</v>
      </c>
      <c r="D65" s="3" t="n">
        <f aca="false">IF('Cleaned Data'!D65="Lunch",0,1)</f>
        <v>1</v>
      </c>
      <c r="E65" s="3" t="n">
        <f aca="false">'Cleaned Data'!E65</f>
        <v>2</v>
      </c>
      <c r="F65" s="3" t="n">
        <f aca="false">'Cleaned Data'!F65</f>
        <v>11.02</v>
      </c>
      <c r="G65" s="3" t="n">
        <f aca="false">'Cleaned Data'!G65</f>
        <v>1.98</v>
      </c>
    </row>
    <row r="66" customFormat="false" ht="15" hidden="false" customHeight="false" outlineLevel="0" collapsed="false">
      <c r="A66" s="4" t="n">
        <f aca="false">IF('Cleaned Data'!A66="Female",0,1)</f>
        <v>1</v>
      </c>
      <c r="B66" s="4" t="n">
        <f aca="false">IF('Cleaned Data'!B66="No",0,1)</f>
        <v>1</v>
      </c>
      <c r="C66" s="4" t="n">
        <f aca="false">IF('Cleaned Data'!C66="Thur",1,IF('Cleaned Data'!C66="Fri",2,IF('Cleaned Data'!C66="Sat",3,4)))</f>
        <v>3</v>
      </c>
      <c r="D66" s="4" t="n">
        <f aca="false">IF('Cleaned Data'!D66="Lunch",0,1)</f>
        <v>1</v>
      </c>
      <c r="E66" s="4" t="n">
        <f aca="false">'Cleaned Data'!E66</f>
        <v>4</v>
      </c>
      <c r="F66" s="4" t="n">
        <f aca="false">'Cleaned Data'!F66</f>
        <v>18.29</v>
      </c>
      <c r="G66" s="4" t="n">
        <f aca="false">'Cleaned Data'!G66</f>
        <v>3.76</v>
      </c>
    </row>
    <row r="67" customFormat="false" ht="15" hidden="false" customHeight="false" outlineLevel="0" collapsed="false">
      <c r="A67" s="3" t="n">
        <f aca="false">IF('Cleaned Data'!A67="Female",0,1)</f>
        <v>1</v>
      </c>
      <c r="B67" s="3" t="n">
        <f aca="false">IF('Cleaned Data'!B67="No",0,1)</f>
        <v>0</v>
      </c>
      <c r="C67" s="3" t="n">
        <f aca="false">IF('Cleaned Data'!C67="Thur",1,IF('Cleaned Data'!C67="Fri",2,IF('Cleaned Data'!C67="Sat",3,4)))</f>
        <v>3</v>
      </c>
      <c r="D67" s="3" t="n">
        <f aca="false">IF('Cleaned Data'!D67="Lunch",0,1)</f>
        <v>1</v>
      </c>
      <c r="E67" s="3" t="n">
        <f aca="false">'Cleaned Data'!E67</f>
        <v>3</v>
      </c>
      <c r="F67" s="3" t="n">
        <f aca="false">'Cleaned Data'!F67</f>
        <v>17.59</v>
      </c>
      <c r="G67" s="3" t="n">
        <f aca="false">'Cleaned Data'!G67</f>
        <v>2.64</v>
      </c>
    </row>
    <row r="68" customFormat="false" ht="15" hidden="false" customHeight="false" outlineLevel="0" collapsed="false">
      <c r="A68" s="4" t="n">
        <f aca="false">IF('Cleaned Data'!A68="Female",0,1)</f>
        <v>1</v>
      </c>
      <c r="B68" s="4" t="n">
        <f aca="false">IF('Cleaned Data'!B68="No",0,1)</f>
        <v>0</v>
      </c>
      <c r="C68" s="4" t="n">
        <f aca="false">IF('Cleaned Data'!C68="Thur",1,IF('Cleaned Data'!C68="Fri",2,IF('Cleaned Data'!C68="Sat",3,4)))</f>
        <v>3</v>
      </c>
      <c r="D68" s="4" t="n">
        <f aca="false">IF('Cleaned Data'!D68="Lunch",0,1)</f>
        <v>1</v>
      </c>
      <c r="E68" s="4" t="n">
        <f aca="false">'Cleaned Data'!E68</f>
        <v>3</v>
      </c>
      <c r="F68" s="4" t="n">
        <f aca="false">'Cleaned Data'!F68</f>
        <v>20.08</v>
      </c>
      <c r="G68" s="4" t="n">
        <f aca="false">'Cleaned Data'!G68</f>
        <v>3.15</v>
      </c>
    </row>
    <row r="69" customFormat="false" ht="15" hidden="false" customHeight="false" outlineLevel="0" collapsed="false">
      <c r="A69" s="3" t="n">
        <f aca="false">IF('Cleaned Data'!A69="Female",0,1)</f>
        <v>0</v>
      </c>
      <c r="B69" s="3" t="n">
        <f aca="false">IF('Cleaned Data'!B69="No",0,1)</f>
        <v>0</v>
      </c>
      <c r="C69" s="3" t="n">
        <f aca="false">IF('Cleaned Data'!C69="Thur",1,IF('Cleaned Data'!C69="Fri",2,IF('Cleaned Data'!C69="Sat",3,4)))</f>
        <v>3</v>
      </c>
      <c r="D69" s="3" t="n">
        <f aca="false">IF('Cleaned Data'!D69="Lunch",0,1)</f>
        <v>1</v>
      </c>
      <c r="E69" s="3" t="n">
        <f aca="false">'Cleaned Data'!E69</f>
        <v>2</v>
      </c>
      <c r="F69" s="3" t="n">
        <f aca="false">'Cleaned Data'!F69</f>
        <v>16.45</v>
      </c>
      <c r="G69" s="3" t="n">
        <f aca="false">'Cleaned Data'!G69</f>
        <v>2.47</v>
      </c>
    </row>
    <row r="70" customFormat="false" ht="15" hidden="false" customHeight="false" outlineLevel="0" collapsed="false">
      <c r="A70" s="4" t="n">
        <f aca="false">IF('Cleaned Data'!A70="Female",0,1)</f>
        <v>0</v>
      </c>
      <c r="B70" s="4" t="n">
        <f aca="false">IF('Cleaned Data'!B70="No",0,1)</f>
        <v>1</v>
      </c>
      <c r="C70" s="4" t="n">
        <f aca="false">IF('Cleaned Data'!C70="Thur",1,IF('Cleaned Data'!C70="Fri",2,IF('Cleaned Data'!C70="Sat",3,4)))</f>
        <v>3</v>
      </c>
      <c r="D70" s="4" t="n">
        <f aca="false">IF('Cleaned Data'!D70="Lunch",0,1)</f>
        <v>1</v>
      </c>
      <c r="E70" s="4" t="n">
        <f aca="false">'Cleaned Data'!E70</f>
        <v>1</v>
      </c>
      <c r="F70" s="4" t="n">
        <f aca="false">'Cleaned Data'!F70</f>
        <v>3.07</v>
      </c>
      <c r="G70" s="4" t="n">
        <f aca="false">'Cleaned Data'!G70</f>
        <v>1</v>
      </c>
    </row>
    <row r="71" customFormat="false" ht="15" hidden="false" customHeight="false" outlineLevel="0" collapsed="false">
      <c r="A71" s="3" t="n">
        <f aca="false">IF('Cleaned Data'!A71="Female",0,1)</f>
        <v>1</v>
      </c>
      <c r="B71" s="3" t="n">
        <f aca="false">IF('Cleaned Data'!B71="No",0,1)</f>
        <v>0</v>
      </c>
      <c r="C71" s="3" t="n">
        <f aca="false">IF('Cleaned Data'!C71="Thur",1,IF('Cleaned Data'!C71="Fri",2,IF('Cleaned Data'!C71="Sat",3,4)))</f>
        <v>3</v>
      </c>
      <c r="D71" s="3" t="n">
        <f aca="false">IF('Cleaned Data'!D71="Lunch",0,1)</f>
        <v>1</v>
      </c>
      <c r="E71" s="3" t="n">
        <f aca="false">'Cleaned Data'!E71</f>
        <v>2</v>
      </c>
      <c r="F71" s="3" t="n">
        <f aca="false">'Cleaned Data'!F71</f>
        <v>20.23</v>
      </c>
      <c r="G71" s="3" t="n">
        <f aca="false">'Cleaned Data'!G71</f>
        <v>2.01</v>
      </c>
    </row>
    <row r="72" customFormat="false" ht="15" hidden="false" customHeight="false" outlineLevel="0" collapsed="false">
      <c r="A72" s="4" t="n">
        <f aca="false">IF('Cleaned Data'!A72="Female",0,1)</f>
        <v>1</v>
      </c>
      <c r="B72" s="4" t="n">
        <f aca="false">IF('Cleaned Data'!B72="No",0,1)</f>
        <v>1</v>
      </c>
      <c r="C72" s="4" t="n">
        <f aca="false">IF('Cleaned Data'!C72="Thur",1,IF('Cleaned Data'!C72="Fri",2,IF('Cleaned Data'!C72="Sat",3,4)))</f>
        <v>3</v>
      </c>
      <c r="D72" s="4" t="n">
        <f aca="false">IF('Cleaned Data'!D72="Lunch",0,1)</f>
        <v>1</v>
      </c>
      <c r="E72" s="4" t="n">
        <f aca="false">'Cleaned Data'!E72</f>
        <v>2</v>
      </c>
      <c r="F72" s="4" t="n">
        <f aca="false">'Cleaned Data'!F72</f>
        <v>15.01</v>
      </c>
      <c r="G72" s="4" t="n">
        <f aca="false">'Cleaned Data'!G72</f>
        <v>2.09</v>
      </c>
    </row>
    <row r="73" customFormat="false" ht="15" hidden="false" customHeight="false" outlineLevel="0" collapsed="false">
      <c r="A73" s="3" t="n">
        <f aca="false">IF('Cleaned Data'!A73="Female",0,1)</f>
        <v>1</v>
      </c>
      <c r="B73" s="3" t="n">
        <f aca="false">IF('Cleaned Data'!B73="No",0,1)</f>
        <v>0</v>
      </c>
      <c r="C73" s="3" t="n">
        <f aca="false">IF('Cleaned Data'!C73="Thur",1,IF('Cleaned Data'!C73="Fri",2,IF('Cleaned Data'!C73="Sat",3,4)))</f>
        <v>3</v>
      </c>
      <c r="D73" s="3" t="n">
        <f aca="false">IF('Cleaned Data'!D73="Lunch",0,1)</f>
        <v>1</v>
      </c>
      <c r="E73" s="3" t="n">
        <f aca="false">'Cleaned Data'!E73</f>
        <v>2</v>
      </c>
      <c r="F73" s="3" t="n">
        <f aca="false">'Cleaned Data'!F73</f>
        <v>12.02</v>
      </c>
      <c r="G73" s="3" t="n">
        <f aca="false">'Cleaned Data'!G73</f>
        <v>1.97</v>
      </c>
    </row>
    <row r="74" customFormat="false" ht="15" hidden="false" customHeight="false" outlineLevel="0" collapsed="false">
      <c r="A74" s="4" t="n">
        <f aca="false">IF('Cleaned Data'!A74="Female",0,1)</f>
        <v>0</v>
      </c>
      <c r="B74" s="4" t="n">
        <f aca="false">IF('Cleaned Data'!B74="No",0,1)</f>
        <v>0</v>
      </c>
      <c r="C74" s="4" t="n">
        <f aca="false">IF('Cleaned Data'!C74="Thur",1,IF('Cleaned Data'!C74="Fri",2,IF('Cleaned Data'!C74="Sat",3,4)))</f>
        <v>3</v>
      </c>
      <c r="D74" s="4" t="n">
        <f aca="false">IF('Cleaned Data'!D74="Lunch",0,1)</f>
        <v>1</v>
      </c>
      <c r="E74" s="4" t="n">
        <f aca="false">'Cleaned Data'!E74</f>
        <v>3</v>
      </c>
      <c r="F74" s="4" t="n">
        <f aca="false">'Cleaned Data'!F74</f>
        <v>17.07</v>
      </c>
      <c r="G74" s="4" t="n">
        <f aca="false">'Cleaned Data'!G74</f>
        <v>3</v>
      </c>
    </row>
    <row r="75" customFormat="false" ht="15" hidden="false" customHeight="false" outlineLevel="0" collapsed="false">
      <c r="A75" s="3" t="n">
        <f aca="false">IF('Cleaned Data'!A75="Female",0,1)</f>
        <v>0</v>
      </c>
      <c r="B75" s="3" t="n">
        <f aca="false">IF('Cleaned Data'!B75="No",0,1)</f>
        <v>1</v>
      </c>
      <c r="C75" s="3" t="n">
        <f aca="false">IF('Cleaned Data'!C75="Thur",1,IF('Cleaned Data'!C75="Fri",2,IF('Cleaned Data'!C75="Sat",3,4)))</f>
        <v>3</v>
      </c>
      <c r="D75" s="3" t="n">
        <f aca="false">IF('Cleaned Data'!D75="Lunch",0,1)</f>
        <v>1</v>
      </c>
      <c r="E75" s="3" t="n">
        <f aca="false">'Cleaned Data'!E75</f>
        <v>2</v>
      </c>
      <c r="F75" s="3" t="n">
        <f aca="false">'Cleaned Data'!F75</f>
        <v>26.86</v>
      </c>
      <c r="G75" s="3" t="n">
        <f aca="false">'Cleaned Data'!G75</f>
        <v>3.14</v>
      </c>
    </row>
    <row r="76" customFormat="false" ht="15" hidden="false" customHeight="false" outlineLevel="0" collapsed="false">
      <c r="A76" s="4" t="n">
        <f aca="false">IF('Cleaned Data'!A76="Female",0,1)</f>
        <v>0</v>
      </c>
      <c r="B76" s="4" t="n">
        <f aca="false">IF('Cleaned Data'!B76="No",0,1)</f>
        <v>1</v>
      </c>
      <c r="C76" s="4" t="n">
        <f aca="false">IF('Cleaned Data'!C76="Thur",1,IF('Cleaned Data'!C76="Fri",2,IF('Cleaned Data'!C76="Sat",3,4)))</f>
        <v>3</v>
      </c>
      <c r="D76" s="4" t="n">
        <f aca="false">IF('Cleaned Data'!D76="Lunch",0,1)</f>
        <v>1</v>
      </c>
      <c r="E76" s="4" t="n">
        <f aca="false">'Cleaned Data'!E76</f>
        <v>2</v>
      </c>
      <c r="F76" s="4" t="n">
        <f aca="false">'Cleaned Data'!F76</f>
        <v>25.28</v>
      </c>
      <c r="G76" s="4" t="n">
        <f aca="false">'Cleaned Data'!G76</f>
        <v>5</v>
      </c>
    </row>
    <row r="77" customFormat="false" ht="15" hidden="false" customHeight="false" outlineLevel="0" collapsed="false">
      <c r="A77" s="3" t="n">
        <f aca="false">IF('Cleaned Data'!A77="Female",0,1)</f>
        <v>0</v>
      </c>
      <c r="B77" s="3" t="n">
        <f aca="false">IF('Cleaned Data'!B77="No",0,1)</f>
        <v>0</v>
      </c>
      <c r="C77" s="3" t="n">
        <f aca="false">IF('Cleaned Data'!C77="Thur",1,IF('Cleaned Data'!C77="Fri",2,IF('Cleaned Data'!C77="Sat",3,4)))</f>
        <v>3</v>
      </c>
      <c r="D77" s="3" t="n">
        <f aca="false">IF('Cleaned Data'!D77="Lunch",0,1)</f>
        <v>1</v>
      </c>
      <c r="E77" s="3" t="n">
        <f aca="false">'Cleaned Data'!E77</f>
        <v>2</v>
      </c>
      <c r="F77" s="3" t="n">
        <f aca="false">'Cleaned Data'!F77</f>
        <v>14.73</v>
      </c>
      <c r="G77" s="3" t="n">
        <f aca="false">'Cleaned Data'!G77</f>
        <v>2.2</v>
      </c>
    </row>
    <row r="78" customFormat="false" ht="15" hidden="false" customHeight="false" outlineLevel="0" collapsed="false">
      <c r="A78" s="4" t="n">
        <f aca="false">IF('Cleaned Data'!A78="Female",0,1)</f>
        <v>1</v>
      </c>
      <c r="B78" s="4" t="n">
        <f aca="false">IF('Cleaned Data'!B78="No",0,1)</f>
        <v>0</v>
      </c>
      <c r="C78" s="4" t="n">
        <f aca="false">IF('Cleaned Data'!C78="Thur",1,IF('Cleaned Data'!C78="Fri",2,IF('Cleaned Data'!C78="Sat",3,4)))</f>
        <v>3</v>
      </c>
      <c r="D78" s="4" t="n">
        <f aca="false">IF('Cleaned Data'!D78="Lunch",0,1)</f>
        <v>1</v>
      </c>
      <c r="E78" s="4" t="n">
        <f aca="false">'Cleaned Data'!E78</f>
        <v>2</v>
      </c>
      <c r="F78" s="4" t="n">
        <f aca="false">'Cleaned Data'!F78</f>
        <v>10.51</v>
      </c>
      <c r="G78" s="4" t="n">
        <f aca="false">'Cleaned Data'!G78</f>
        <v>1.25</v>
      </c>
    </row>
    <row r="79" customFormat="false" ht="15" hidden="false" customHeight="false" outlineLevel="0" collapsed="false">
      <c r="A79" s="3" t="n">
        <f aca="false">IF('Cleaned Data'!A79="Female",0,1)</f>
        <v>1</v>
      </c>
      <c r="B79" s="3" t="n">
        <f aca="false">IF('Cleaned Data'!B79="No",0,1)</f>
        <v>1</v>
      </c>
      <c r="C79" s="3" t="n">
        <f aca="false">IF('Cleaned Data'!C79="Thur",1,IF('Cleaned Data'!C79="Fri",2,IF('Cleaned Data'!C79="Sat",3,4)))</f>
        <v>3</v>
      </c>
      <c r="D79" s="3" t="n">
        <f aca="false">IF('Cleaned Data'!D79="Lunch",0,1)</f>
        <v>1</v>
      </c>
      <c r="E79" s="3" t="n">
        <f aca="false">'Cleaned Data'!E79</f>
        <v>2</v>
      </c>
      <c r="F79" s="3" t="n">
        <f aca="false">'Cleaned Data'!F79</f>
        <v>17.92</v>
      </c>
      <c r="G79" s="3" t="n">
        <f aca="false">'Cleaned Data'!G79</f>
        <v>3.08</v>
      </c>
    </row>
    <row r="80" customFormat="false" ht="15" hidden="false" customHeight="false" outlineLevel="0" collapsed="false">
      <c r="A80" s="4" t="n">
        <f aca="false">IF('Cleaned Data'!A80="Female",0,1)</f>
        <v>1</v>
      </c>
      <c r="B80" s="4" t="n">
        <f aca="false">IF('Cleaned Data'!B80="No",0,1)</f>
        <v>0</v>
      </c>
      <c r="C80" s="4" t="n">
        <f aca="false">IF('Cleaned Data'!C80="Thur",1,IF('Cleaned Data'!C80="Fri",2,IF('Cleaned Data'!C80="Sat",3,4)))</f>
        <v>1</v>
      </c>
      <c r="D80" s="4" t="n">
        <f aca="false">IF('Cleaned Data'!D80="Lunch",0,1)</f>
        <v>0</v>
      </c>
      <c r="E80" s="4" t="n">
        <f aca="false">'Cleaned Data'!E80</f>
        <v>4</v>
      </c>
      <c r="F80" s="4" t="n">
        <f aca="false">'Cleaned Data'!F80</f>
        <v>27.2</v>
      </c>
      <c r="G80" s="4" t="n">
        <f aca="false">'Cleaned Data'!G80</f>
        <v>4</v>
      </c>
    </row>
    <row r="81" customFormat="false" ht="15" hidden="false" customHeight="false" outlineLevel="0" collapsed="false">
      <c r="A81" s="3" t="n">
        <f aca="false">IF('Cleaned Data'!A81="Female",0,1)</f>
        <v>1</v>
      </c>
      <c r="B81" s="3" t="n">
        <f aca="false">IF('Cleaned Data'!B81="No",0,1)</f>
        <v>0</v>
      </c>
      <c r="C81" s="3" t="n">
        <f aca="false">IF('Cleaned Data'!C81="Thur",1,IF('Cleaned Data'!C81="Fri",2,IF('Cleaned Data'!C81="Sat",3,4)))</f>
        <v>1</v>
      </c>
      <c r="D81" s="3" t="n">
        <f aca="false">IF('Cleaned Data'!D81="Lunch",0,1)</f>
        <v>0</v>
      </c>
      <c r="E81" s="3" t="n">
        <f aca="false">'Cleaned Data'!E81</f>
        <v>2</v>
      </c>
      <c r="F81" s="3" t="n">
        <f aca="false">'Cleaned Data'!F81</f>
        <v>22.76</v>
      </c>
      <c r="G81" s="3" t="n">
        <f aca="false">'Cleaned Data'!G81</f>
        <v>3</v>
      </c>
    </row>
    <row r="82" customFormat="false" ht="15" hidden="false" customHeight="false" outlineLevel="0" collapsed="false">
      <c r="A82" s="4" t="n">
        <f aca="false">IF('Cleaned Data'!A82="Female",0,1)</f>
        <v>1</v>
      </c>
      <c r="B82" s="4" t="n">
        <f aca="false">IF('Cleaned Data'!B82="No",0,1)</f>
        <v>0</v>
      </c>
      <c r="C82" s="4" t="n">
        <f aca="false">IF('Cleaned Data'!C82="Thur",1,IF('Cleaned Data'!C82="Fri",2,IF('Cleaned Data'!C82="Sat",3,4)))</f>
        <v>1</v>
      </c>
      <c r="D82" s="4" t="n">
        <f aca="false">IF('Cleaned Data'!D82="Lunch",0,1)</f>
        <v>0</v>
      </c>
      <c r="E82" s="4" t="n">
        <f aca="false">'Cleaned Data'!E82</f>
        <v>2</v>
      </c>
      <c r="F82" s="4" t="n">
        <f aca="false">'Cleaned Data'!F82</f>
        <v>17.29</v>
      </c>
      <c r="G82" s="4" t="n">
        <f aca="false">'Cleaned Data'!G82</f>
        <v>2.71</v>
      </c>
    </row>
    <row r="83" customFormat="false" ht="15" hidden="false" customHeight="false" outlineLevel="0" collapsed="false">
      <c r="A83" s="3" t="n">
        <f aca="false">IF('Cleaned Data'!A83="Female",0,1)</f>
        <v>1</v>
      </c>
      <c r="B83" s="3" t="n">
        <f aca="false">IF('Cleaned Data'!B83="No",0,1)</f>
        <v>1</v>
      </c>
      <c r="C83" s="3" t="n">
        <f aca="false">IF('Cleaned Data'!C83="Thur",1,IF('Cleaned Data'!C83="Fri",2,IF('Cleaned Data'!C83="Sat",3,4)))</f>
        <v>1</v>
      </c>
      <c r="D83" s="3" t="n">
        <f aca="false">IF('Cleaned Data'!D83="Lunch",0,1)</f>
        <v>0</v>
      </c>
      <c r="E83" s="3" t="n">
        <f aca="false">'Cleaned Data'!E83</f>
        <v>2</v>
      </c>
      <c r="F83" s="3" t="n">
        <f aca="false">'Cleaned Data'!F83</f>
        <v>19.44</v>
      </c>
      <c r="G83" s="3" t="n">
        <f aca="false">'Cleaned Data'!G83</f>
        <v>3</v>
      </c>
    </row>
    <row r="84" customFormat="false" ht="15" hidden="false" customHeight="false" outlineLevel="0" collapsed="false">
      <c r="A84" s="4" t="n">
        <f aca="false">IF('Cleaned Data'!A84="Female",0,1)</f>
        <v>1</v>
      </c>
      <c r="B84" s="4" t="n">
        <f aca="false">IF('Cleaned Data'!B84="No",0,1)</f>
        <v>0</v>
      </c>
      <c r="C84" s="4" t="n">
        <f aca="false">IF('Cleaned Data'!C84="Thur",1,IF('Cleaned Data'!C84="Fri",2,IF('Cleaned Data'!C84="Sat",3,4)))</f>
        <v>1</v>
      </c>
      <c r="D84" s="4" t="n">
        <f aca="false">IF('Cleaned Data'!D84="Lunch",0,1)</f>
        <v>0</v>
      </c>
      <c r="E84" s="4" t="n">
        <f aca="false">'Cleaned Data'!E84</f>
        <v>2</v>
      </c>
      <c r="F84" s="4" t="n">
        <f aca="false">'Cleaned Data'!F84</f>
        <v>16.66</v>
      </c>
      <c r="G84" s="4" t="n">
        <f aca="false">'Cleaned Data'!G84</f>
        <v>3.4</v>
      </c>
    </row>
    <row r="85" customFormat="false" ht="15" hidden="false" customHeight="false" outlineLevel="0" collapsed="false">
      <c r="A85" s="3" t="n">
        <f aca="false">IF('Cleaned Data'!A85="Female",0,1)</f>
        <v>0</v>
      </c>
      <c r="B85" s="3" t="n">
        <f aca="false">IF('Cleaned Data'!B85="No",0,1)</f>
        <v>0</v>
      </c>
      <c r="C85" s="3" t="n">
        <f aca="false">IF('Cleaned Data'!C85="Thur",1,IF('Cleaned Data'!C85="Fri",2,IF('Cleaned Data'!C85="Sat",3,4)))</f>
        <v>1</v>
      </c>
      <c r="D85" s="3" t="n">
        <f aca="false">IF('Cleaned Data'!D85="Lunch",0,1)</f>
        <v>0</v>
      </c>
      <c r="E85" s="3" t="n">
        <f aca="false">'Cleaned Data'!E85</f>
        <v>1</v>
      </c>
      <c r="F85" s="3" t="n">
        <f aca="false">'Cleaned Data'!F85</f>
        <v>10.07</v>
      </c>
      <c r="G85" s="3" t="n">
        <f aca="false">'Cleaned Data'!G85</f>
        <v>1.83</v>
      </c>
    </row>
    <row r="86" customFormat="false" ht="15" hidden="false" customHeight="false" outlineLevel="0" collapsed="false">
      <c r="A86" s="4" t="n">
        <f aca="false">IF('Cleaned Data'!A86="Female",0,1)</f>
        <v>1</v>
      </c>
      <c r="B86" s="4" t="n">
        <f aca="false">IF('Cleaned Data'!B86="No",0,1)</f>
        <v>1</v>
      </c>
      <c r="C86" s="4" t="n">
        <f aca="false">IF('Cleaned Data'!C86="Thur",1,IF('Cleaned Data'!C86="Fri",2,IF('Cleaned Data'!C86="Sat",3,4)))</f>
        <v>1</v>
      </c>
      <c r="D86" s="4" t="n">
        <f aca="false">IF('Cleaned Data'!D86="Lunch",0,1)</f>
        <v>0</v>
      </c>
      <c r="E86" s="4" t="n">
        <f aca="false">'Cleaned Data'!E86</f>
        <v>2</v>
      </c>
      <c r="F86" s="4" t="n">
        <f aca="false">'Cleaned Data'!F86</f>
        <v>32.68</v>
      </c>
      <c r="G86" s="4" t="n">
        <f aca="false">'Cleaned Data'!G86</f>
        <v>5</v>
      </c>
    </row>
    <row r="87" customFormat="false" ht="15" hidden="false" customHeight="false" outlineLevel="0" collapsed="false">
      <c r="A87" s="3" t="n">
        <f aca="false">IF('Cleaned Data'!A87="Female",0,1)</f>
        <v>1</v>
      </c>
      <c r="B87" s="3" t="n">
        <f aca="false">IF('Cleaned Data'!B87="No",0,1)</f>
        <v>0</v>
      </c>
      <c r="C87" s="3" t="n">
        <f aca="false">IF('Cleaned Data'!C87="Thur",1,IF('Cleaned Data'!C87="Fri",2,IF('Cleaned Data'!C87="Sat",3,4)))</f>
        <v>1</v>
      </c>
      <c r="D87" s="3" t="n">
        <f aca="false">IF('Cleaned Data'!D87="Lunch",0,1)</f>
        <v>0</v>
      </c>
      <c r="E87" s="3" t="n">
        <f aca="false">'Cleaned Data'!E87</f>
        <v>2</v>
      </c>
      <c r="F87" s="3" t="n">
        <f aca="false">'Cleaned Data'!F87</f>
        <v>15.98</v>
      </c>
      <c r="G87" s="3" t="n">
        <f aca="false">'Cleaned Data'!G87</f>
        <v>2.03</v>
      </c>
    </row>
    <row r="88" customFormat="false" ht="15" hidden="false" customHeight="false" outlineLevel="0" collapsed="false">
      <c r="A88" s="4" t="n">
        <f aca="false">IF('Cleaned Data'!A88="Female",0,1)</f>
        <v>0</v>
      </c>
      <c r="B88" s="4" t="n">
        <f aca="false">IF('Cleaned Data'!B88="No",0,1)</f>
        <v>0</v>
      </c>
      <c r="C88" s="4" t="n">
        <f aca="false">IF('Cleaned Data'!C88="Thur",1,IF('Cleaned Data'!C88="Fri",2,IF('Cleaned Data'!C88="Sat",3,4)))</f>
        <v>1</v>
      </c>
      <c r="D88" s="4" t="n">
        <f aca="false">IF('Cleaned Data'!D88="Lunch",0,1)</f>
        <v>0</v>
      </c>
      <c r="E88" s="4" t="n">
        <f aca="false">'Cleaned Data'!E88</f>
        <v>4</v>
      </c>
      <c r="F88" s="4" t="n">
        <f aca="false">'Cleaned Data'!F88</f>
        <v>34.83</v>
      </c>
      <c r="G88" s="4" t="n">
        <f aca="false">'Cleaned Data'!G88</f>
        <v>5.17</v>
      </c>
    </row>
    <row r="89" customFormat="false" ht="15" hidden="false" customHeight="false" outlineLevel="0" collapsed="false">
      <c r="A89" s="3" t="n">
        <f aca="false">IF('Cleaned Data'!A89="Female",0,1)</f>
        <v>1</v>
      </c>
      <c r="B89" s="3" t="n">
        <f aca="false">IF('Cleaned Data'!B89="No",0,1)</f>
        <v>0</v>
      </c>
      <c r="C89" s="3" t="n">
        <f aca="false">IF('Cleaned Data'!C89="Thur",1,IF('Cleaned Data'!C89="Fri",2,IF('Cleaned Data'!C89="Sat",3,4)))</f>
        <v>1</v>
      </c>
      <c r="D89" s="3" t="n">
        <f aca="false">IF('Cleaned Data'!D89="Lunch",0,1)</f>
        <v>0</v>
      </c>
      <c r="E89" s="3" t="n">
        <f aca="false">'Cleaned Data'!E89</f>
        <v>2</v>
      </c>
      <c r="F89" s="3" t="n">
        <f aca="false">'Cleaned Data'!F89</f>
        <v>13.03</v>
      </c>
      <c r="G89" s="3" t="n">
        <f aca="false">'Cleaned Data'!G89</f>
        <v>2</v>
      </c>
    </row>
    <row r="90" customFormat="false" ht="15" hidden="false" customHeight="false" outlineLevel="0" collapsed="false">
      <c r="A90" s="4" t="n">
        <f aca="false">IF('Cleaned Data'!A90="Female",0,1)</f>
        <v>1</v>
      </c>
      <c r="B90" s="4" t="n">
        <f aca="false">IF('Cleaned Data'!B90="No",0,1)</f>
        <v>0</v>
      </c>
      <c r="C90" s="4" t="n">
        <f aca="false">IF('Cleaned Data'!C90="Thur",1,IF('Cleaned Data'!C90="Fri",2,IF('Cleaned Data'!C90="Sat",3,4)))</f>
        <v>1</v>
      </c>
      <c r="D90" s="4" t="n">
        <f aca="false">IF('Cleaned Data'!D90="Lunch",0,1)</f>
        <v>0</v>
      </c>
      <c r="E90" s="4" t="n">
        <f aca="false">'Cleaned Data'!E90</f>
        <v>2</v>
      </c>
      <c r="F90" s="4" t="n">
        <f aca="false">'Cleaned Data'!F90</f>
        <v>18.28</v>
      </c>
      <c r="G90" s="4" t="n">
        <f aca="false">'Cleaned Data'!G90</f>
        <v>4</v>
      </c>
    </row>
    <row r="91" customFormat="false" ht="15" hidden="false" customHeight="false" outlineLevel="0" collapsed="false">
      <c r="A91" s="3" t="n">
        <f aca="false">IF('Cleaned Data'!A91="Female",0,1)</f>
        <v>1</v>
      </c>
      <c r="B91" s="3" t="n">
        <f aca="false">IF('Cleaned Data'!B91="No",0,1)</f>
        <v>0</v>
      </c>
      <c r="C91" s="3" t="n">
        <f aca="false">IF('Cleaned Data'!C91="Thur",1,IF('Cleaned Data'!C91="Fri",2,IF('Cleaned Data'!C91="Sat",3,4)))</f>
        <v>1</v>
      </c>
      <c r="D91" s="3" t="n">
        <f aca="false">IF('Cleaned Data'!D91="Lunch",0,1)</f>
        <v>0</v>
      </c>
      <c r="E91" s="3" t="n">
        <f aca="false">'Cleaned Data'!E91</f>
        <v>2</v>
      </c>
      <c r="F91" s="3" t="n">
        <f aca="false">'Cleaned Data'!F91</f>
        <v>24.71</v>
      </c>
      <c r="G91" s="3" t="n">
        <f aca="false">'Cleaned Data'!G91</f>
        <v>5.85</v>
      </c>
    </row>
    <row r="92" customFormat="false" ht="15" hidden="false" customHeight="false" outlineLevel="0" collapsed="false">
      <c r="A92" s="4" t="n">
        <f aca="false">IF('Cleaned Data'!A92="Female",0,1)</f>
        <v>1</v>
      </c>
      <c r="B92" s="4" t="n">
        <f aca="false">IF('Cleaned Data'!B92="No",0,1)</f>
        <v>0</v>
      </c>
      <c r="C92" s="4" t="n">
        <f aca="false">IF('Cleaned Data'!C92="Thur",1,IF('Cleaned Data'!C92="Fri",2,IF('Cleaned Data'!C92="Sat",3,4)))</f>
        <v>1</v>
      </c>
      <c r="D92" s="4" t="n">
        <f aca="false">IF('Cleaned Data'!D92="Lunch",0,1)</f>
        <v>0</v>
      </c>
      <c r="E92" s="4" t="n">
        <f aca="false">'Cleaned Data'!E92</f>
        <v>2</v>
      </c>
      <c r="F92" s="4" t="n">
        <f aca="false">'Cleaned Data'!F92</f>
        <v>21.16</v>
      </c>
      <c r="G92" s="4" t="n">
        <f aca="false">'Cleaned Data'!G92</f>
        <v>3</v>
      </c>
    </row>
    <row r="93" customFormat="false" ht="15" hidden="false" customHeight="false" outlineLevel="0" collapsed="false">
      <c r="A93" s="3" t="n">
        <f aca="false">IF('Cleaned Data'!A93="Female",0,1)</f>
        <v>1</v>
      </c>
      <c r="B93" s="3" t="n">
        <f aca="false">IF('Cleaned Data'!B93="No",0,1)</f>
        <v>1</v>
      </c>
      <c r="C93" s="3" t="n">
        <f aca="false">IF('Cleaned Data'!C93="Thur",1,IF('Cleaned Data'!C93="Fri",2,IF('Cleaned Data'!C93="Sat",3,4)))</f>
        <v>2</v>
      </c>
      <c r="D93" s="3" t="n">
        <f aca="false">IF('Cleaned Data'!D93="Lunch",0,1)</f>
        <v>1</v>
      </c>
      <c r="E93" s="3" t="n">
        <f aca="false">'Cleaned Data'!E93</f>
        <v>2</v>
      </c>
      <c r="F93" s="3" t="n">
        <f aca="false">'Cleaned Data'!F93</f>
        <v>28.97</v>
      </c>
      <c r="G93" s="3" t="n">
        <f aca="false">'Cleaned Data'!G93</f>
        <v>3</v>
      </c>
    </row>
    <row r="94" customFormat="false" ht="15" hidden="false" customHeight="false" outlineLevel="0" collapsed="false">
      <c r="A94" s="4" t="n">
        <f aca="false">IF('Cleaned Data'!A94="Female",0,1)</f>
        <v>1</v>
      </c>
      <c r="B94" s="4" t="n">
        <f aca="false">IF('Cleaned Data'!B94="No",0,1)</f>
        <v>0</v>
      </c>
      <c r="C94" s="4" t="n">
        <f aca="false">IF('Cleaned Data'!C94="Thur",1,IF('Cleaned Data'!C94="Fri",2,IF('Cleaned Data'!C94="Sat",3,4)))</f>
        <v>2</v>
      </c>
      <c r="D94" s="4" t="n">
        <f aca="false">IF('Cleaned Data'!D94="Lunch",0,1)</f>
        <v>1</v>
      </c>
      <c r="E94" s="4" t="n">
        <f aca="false">'Cleaned Data'!E94</f>
        <v>2</v>
      </c>
      <c r="F94" s="4" t="n">
        <f aca="false">'Cleaned Data'!F94</f>
        <v>22.49</v>
      </c>
      <c r="G94" s="4" t="n">
        <f aca="false">'Cleaned Data'!G94</f>
        <v>3.5</v>
      </c>
    </row>
    <row r="95" customFormat="false" ht="15" hidden="false" customHeight="false" outlineLevel="0" collapsed="false">
      <c r="A95" s="3" t="n">
        <f aca="false">IF('Cleaned Data'!A95="Female",0,1)</f>
        <v>0</v>
      </c>
      <c r="B95" s="3" t="n">
        <f aca="false">IF('Cleaned Data'!B95="No",0,1)</f>
        <v>1</v>
      </c>
      <c r="C95" s="3" t="n">
        <f aca="false">IF('Cleaned Data'!C95="Thur",1,IF('Cleaned Data'!C95="Fri",2,IF('Cleaned Data'!C95="Sat",3,4)))</f>
        <v>2</v>
      </c>
      <c r="D95" s="3" t="n">
        <f aca="false">IF('Cleaned Data'!D95="Lunch",0,1)</f>
        <v>1</v>
      </c>
      <c r="E95" s="3" t="n">
        <f aca="false">'Cleaned Data'!E95</f>
        <v>2</v>
      </c>
      <c r="F95" s="3" t="n">
        <f aca="false">'Cleaned Data'!F95</f>
        <v>5.75</v>
      </c>
      <c r="G95" s="3" t="n">
        <f aca="false">'Cleaned Data'!G95</f>
        <v>1</v>
      </c>
    </row>
    <row r="96" customFormat="false" ht="15" hidden="false" customHeight="false" outlineLevel="0" collapsed="false">
      <c r="A96" s="4" t="n">
        <f aca="false">IF('Cleaned Data'!A96="Female",0,1)</f>
        <v>0</v>
      </c>
      <c r="B96" s="4" t="n">
        <f aca="false">IF('Cleaned Data'!B96="No",0,1)</f>
        <v>1</v>
      </c>
      <c r="C96" s="4" t="n">
        <f aca="false">IF('Cleaned Data'!C96="Thur",1,IF('Cleaned Data'!C96="Fri",2,IF('Cleaned Data'!C96="Sat",3,4)))</f>
        <v>2</v>
      </c>
      <c r="D96" s="4" t="n">
        <f aca="false">IF('Cleaned Data'!D96="Lunch",0,1)</f>
        <v>1</v>
      </c>
      <c r="E96" s="4" t="n">
        <f aca="false">'Cleaned Data'!E96</f>
        <v>2</v>
      </c>
      <c r="F96" s="4" t="n">
        <f aca="false">'Cleaned Data'!F96</f>
        <v>16.32</v>
      </c>
      <c r="G96" s="4" t="n">
        <f aca="false">'Cleaned Data'!G96</f>
        <v>4.3</v>
      </c>
    </row>
    <row r="97" customFormat="false" ht="15" hidden="false" customHeight="false" outlineLevel="0" collapsed="false">
      <c r="A97" s="3" t="n">
        <f aca="false">IF('Cleaned Data'!A97="Female",0,1)</f>
        <v>0</v>
      </c>
      <c r="B97" s="3" t="n">
        <f aca="false">IF('Cleaned Data'!B97="No",0,1)</f>
        <v>0</v>
      </c>
      <c r="C97" s="3" t="n">
        <f aca="false">IF('Cleaned Data'!C97="Thur",1,IF('Cleaned Data'!C97="Fri",2,IF('Cleaned Data'!C97="Sat",3,4)))</f>
        <v>2</v>
      </c>
      <c r="D97" s="3" t="n">
        <f aca="false">IF('Cleaned Data'!D97="Lunch",0,1)</f>
        <v>1</v>
      </c>
      <c r="E97" s="3" t="n">
        <f aca="false">'Cleaned Data'!E97</f>
        <v>2</v>
      </c>
      <c r="F97" s="3" t="n">
        <f aca="false">'Cleaned Data'!F97</f>
        <v>22.75</v>
      </c>
      <c r="G97" s="3" t="n">
        <f aca="false">'Cleaned Data'!G97</f>
        <v>3.25</v>
      </c>
    </row>
    <row r="98" customFormat="false" ht="15" hidden="false" customHeight="false" outlineLevel="0" collapsed="false">
      <c r="A98" s="4" t="n">
        <f aca="false">IF('Cleaned Data'!A98="Female",0,1)</f>
        <v>1</v>
      </c>
      <c r="B98" s="4" t="n">
        <f aca="false">IF('Cleaned Data'!B98="No",0,1)</f>
        <v>1</v>
      </c>
      <c r="C98" s="4" t="n">
        <f aca="false">IF('Cleaned Data'!C98="Thur",1,IF('Cleaned Data'!C98="Fri",2,IF('Cleaned Data'!C98="Sat",3,4)))</f>
        <v>2</v>
      </c>
      <c r="D98" s="4" t="n">
        <f aca="false">IF('Cleaned Data'!D98="Lunch",0,1)</f>
        <v>1</v>
      </c>
      <c r="E98" s="4" t="n">
        <f aca="false">'Cleaned Data'!E98</f>
        <v>4</v>
      </c>
      <c r="F98" s="4" t="n">
        <f aca="false">'Cleaned Data'!F98</f>
        <v>40.17</v>
      </c>
      <c r="G98" s="4" t="n">
        <f aca="false">'Cleaned Data'!G98</f>
        <v>4.73</v>
      </c>
    </row>
    <row r="99" customFormat="false" ht="15" hidden="false" customHeight="false" outlineLevel="0" collapsed="false">
      <c r="A99" s="3" t="n">
        <f aca="false">IF('Cleaned Data'!A99="Female",0,1)</f>
        <v>1</v>
      </c>
      <c r="B99" s="3" t="n">
        <f aca="false">IF('Cleaned Data'!B99="No",0,1)</f>
        <v>1</v>
      </c>
      <c r="C99" s="3" t="n">
        <f aca="false">IF('Cleaned Data'!C99="Thur",1,IF('Cleaned Data'!C99="Fri",2,IF('Cleaned Data'!C99="Sat",3,4)))</f>
        <v>2</v>
      </c>
      <c r="D99" s="3" t="n">
        <f aca="false">IF('Cleaned Data'!D99="Lunch",0,1)</f>
        <v>1</v>
      </c>
      <c r="E99" s="3" t="n">
        <f aca="false">'Cleaned Data'!E99</f>
        <v>2</v>
      </c>
      <c r="F99" s="3" t="n">
        <f aca="false">'Cleaned Data'!F99</f>
        <v>27.28</v>
      </c>
      <c r="G99" s="3" t="n">
        <f aca="false">'Cleaned Data'!G99</f>
        <v>4</v>
      </c>
    </row>
    <row r="100" customFormat="false" ht="15" hidden="false" customHeight="false" outlineLevel="0" collapsed="false">
      <c r="A100" s="4" t="n">
        <f aca="false">IF('Cleaned Data'!A100="Female",0,1)</f>
        <v>1</v>
      </c>
      <c r="B100" s="4" t="n">
        <f aca="false">IF('Cleaned Data'!B100="No",0,1)</f>
        <v>1</v>
      </c>
      <c r="C100" s="4" t="n">
        <f aca="false">IF('Cleaned Data'!C100="Thur",1,IF('Cleaned Data'!C100="Fri",2,IF('Cleaned Data'!C100="Sat",3,4)))</f>
        <v>2</v>
      </c>
      <c r="D100" s="4" t="n">
        <f aca="false">IF('Cleaned Data'!D100="Lunch",0,1)</f>
        <v>1</v>
      </c>
      <c r="E100" s="4" t="n">
        <f aca="false">'Cleaned Data'!E100</f>
        <v>2</v>
      </c>
      <c r="F100" s="4" t="n">
        <f aca="false">'Cleaned Data'!F100</f>
        <v>12.03</v>
      </c>
      <c r="G100" s="4" t="n">
        <f aca="false">'Cleaned Data'!G100</f>
        <v>1.5</v>
      </c>
    </row>
    <row r="101" customFormat="false" ht="15" hidden="false" customHeight="false" outlineLevel="0" collapsed="false">
      <c r="A101" s="3" t="n">
        <f aca="false">IF('Cleaned Data'!A101="Female",0,1)</f>
        <v>1</v>
      </c>
      <c r="B101" s="3" t="n">
        <f aca="false">IF('Cleaned Data'!B101="No",0,1)</f>
        <v>1</v>
      </c>
      <c r="C101" s="3" t="n">
        <f aca="false">IF('Cleaned Data'!C101="Thur",1,IF('Cleaned Data'!C101="Fri",2,IF('Cleaned Data'!C101="Sat",3,4)))</f>
        <v>2</v>
      </c>
      <c r="D101" s="3" t="n">
        <f aca="false">IF('Cleaned Data'!D101="Lunch",0,1)</f>
        <v>1</v>
      </c>
      <c r="E101" s="3" t="n">
        <f aca="false">'Cleaned Data'!E101</f>
        <v>2</v>
      </c>
      <c r="F101" s="3" t="n">
        <f aca="false">'Cleaned Data'!F101</f>
        <v>21.01</v>
      </c>
      <c r="G101" s="3" t="n">
        <f aca="false">'Cleaned Data'!G101</f>
        <v>3</v>
      </c>
    </row>
    <row r="102" customFormat="false" ht="15" hidden="false" customHeight="false" outlineLevel="0" collapsed="false">
      <c r="A102" s="4" t="n">
        <f aca="false">IF('Cleaned Data'!A102="Female",0,1)</f>
        <v>1</v>
      </c>
      <c r="B102" s="4" t="n">
        <f aca="false">IF('Cleaned Data'!B102="No",0,1)</f>
        <v>0</v>
      </c>
      <c r="C102" s="4" t="n">
        <f aca="false">IF('Cleaned Data'!C102="Thur",1,IF('Cleaned Data'!C102="Fri",2,IF('Cleaned Data'!C102="Sat",3,4)))</f>
        <v>2</v>
      </c>
      <c r="D102" s="4" t="n">
        <f aca="false">IF('Cleaned Data'!D102="Lunch",0,1)</f>
        <v>1</v>
      </c>
      <c r="E102" s="4" t="n">
        <f aca="false">'Cleaned Data'!E102</f>
        <v>2</v>
      </c>
      <c r="F102" s="4" t="n">
        <f aca="false">'Cleaned Data'!F102</f>
        <v>12.46</v>
      </c>
      <c r="G102" s="4" t="n">
        <f aca="false">'Cleaned Data'!G102</f>
        <v>1.5</v>
      </c>
    </row>
    <row r="103" customFormat="false" ht="15" hidden="false" customHeight="false" outlineLevel="0" collapsed="false">
      <c r="A103" s="3" t="n">
        <f aca="false">IF('Cleaned Data'!A103="Female",0,1)</f>
        <v>0</v>
      </c>
      <c r="B103" s="3" t="n">
        <f aca="false">IF('Cleaned Data'!B103="No",0,1)</f>
        <v>1</v>
      </c>
      <c r="C103" s="3" t="n">
        <f aca="false">IF('Cleaned Data'!C103="Thur",1,IF('Cleaned Data'!C103="Fri",2,IF('Cleaned Data'!C103="Sat",3,4)))</f>
        <v>2</v>
      </c>
      <c r="D103" s="3" t="n">
        <f aca="false">IF('Cleaned Data'!D103="Lunch",0,1)</f>
        <v>1</v>
      </c>
      <c r="E103" s="3" t="n">
        <f aca="false">'Cleaned Data'!E103</f>
        <v>2</v>
      </c>
      <c r="F103" s="3" t="n">
        <f aca="false">'Cleaned Data'!F103</f>
        <v>11.35</v>
      </c>
      <c r="G103" s="3" t="n">
        <f aca="false">'Cleaned Data'!G103</f>
        <v>2.5</v>
      </c>
    </row>
    <row r="104" customFormat="false" ht="15" hidden="false" customHeight="false" outlineLevel="0" collapsed="false">
      <c r="A104" s="4" t="n">
        <f aca="false">IF('Cleaned Data'!A104="Female",0,1)</f>
        <v>0</v>
      </c>
      <c r="B104" s="4" t="n">
        <f aca="false">IF('Cleaned Data'!B104="No",0,1)</f>
        <v>1</v>
      </c>
      <c r="C104" s="4" t="n">
        <f aca="false">IF('Cleaned Data'!C104="Thur",1,IF('Cleaned Data'!C104="Fri",2,IF('Cleaned Data'!C104="Sat",3,4)))</f>
        <v>2</v>
      </c>
      <c r="D104" s="4" t="n">
        <f aca="false">IF('Cleaned Data'!D104="Lunch",0,1)</f>
        <v>1</v>
      </c>
      <c r="E104" s="4" t="n">
        <f aca="false">'Cleaned Data'!E104</f>
        <v>2</v>
      </c>
      <c r="F104" s="4" t="n">
        <f aca="false">'Cleaned Data'!F104</f>
        <v>15.38</v>
      </c>
      <c r="G104" s="4" t="n">
        <f aca="false">'Cleaned Data'!G104</f>
        <v>3</v>
      </c>
    </row>
    <row r="105" customFormat="false" ht="15" hidden="false" customHeight="false" outlineLevel="0" collapsed="false">
      <c r="A105" s="3" t="n">
        <f aca="false">IF('Cleaned Data'!A105="Female",0,1)</f>
        <v>0</v>
      </c>
      <c r="B105" s="3" t="n">
        <f aca="false">IF('Cleaned Data'!B105="No",0,1)</f>
        <v>1</v>
      </c>
      <c r="C105" s="3" t="n">
        <f aca="false">IF('Cleaned Data'!C105="Thur",1,IF('Cleaned Data'!C105="Fri",2,IF('Cleaned Data'!C105="Sat",3,4)))</f>
        <v>3</v>
      </c>
      <c r="D105" s="3" t="n">
        <f aca="false">IF('Cleaned Data'!D105="Lunch",0,1)</f>
        <v>1</v>
      </c>
      <c r="E105" s="3" t="n">
        <f aca="false">'Cleaned Data'!E105</f>
        <v>3</v>
      </c>
      <c r="F105" s="3" t="n">
        <f aca="false">'Cleaned Data'!F105</f>
        <v>44.3</v>
      </c>
      <c r="G105" s="3" t="n">
        <f aca="false">'Cleaned Data'!G105</f>
        <v>2.5</v>
      </c>
    </row>
    <row r="106" customFormat="false" ht="15" hidden="false" customHeight="false" outlineLevel="0" collapsed="false">
      <c r="A106" s="4" t="n">
        <f aca="false">IF('Cleaned Data'!A106="Female",0,1)</f>
        <v>0</v>
      </c>
      <c r="B106" s="4" t="n">
        <f aca="false">IF('Cleaned Data'!B106="No",0,1)</f>
        <v>1</v>
      </c>
      <c r="C106" s="4" t="n">
        <f aca="false">IF('Cleaned Data'!C106="Thur",1,IF('Cleaned Data'!C106="Fri",2,IF('Cleaned Data'!C106="Sat",3,4)))</f>
        <v>3</v>
      </c>
      <c r="D106" s="4" t="n">
        <f aca="false">IF('Cleaned Data'!D106="Lunch",0,1)</f>
        <v>1</v>
      </c>
      <c r="E106" s="4" t="n">
        <f aca="false">'Cleaned Data'!E106</f>
        <v>2</v>
      </c>
      <c r="F106" s="4" t="n">
        <f aca="false">'Cleaned Data'!F106</f>
        <v>22.42</v>
      </c>
      <c r="G106" s="4" t="n">
        <f aca="false">'Cleaned Data'!G106</f>
        <v>3.48</v>
      </c>
    </row>
    <row r="107" customFormat="false" ht="15" hidden="false" customHeight="false" outlineLevel="0" collapsed="false">
      <c r="A107" s="3" t="n">
        <f aca="false">IF('Cleaned Data'!A107="Female",0,1)</f>
        <v>0</v>
      </c>
      <c r="B107" s="3" t="n">
        <f aca="false">IF('Cleaned Data'!B107="No",0,1)</f>
        <v>0</v>
      </c>
      <c r="C107" s="3" t="n">
        <f aca="false">IF('Cleaned Data'!C107="Thur",1,IF('Cleaned Data'!C107="Fri",2,IF('Cleaned Data'!C107="Sat",3,4)))</f>
        <v>3</v>
      </c>
      <c r="D107" s="3" t="n">
        <f aca="false">IF('Cleaned Data'!D107="Lunch",0,1)</f>
        <v>1</v>
      </c>
      <c r="E107" s="3" t="n">
        <f aca="false">'Cleaned Data'!E107</f>
        <v>2</v>
      </c>
      <c r="F107" s="3" t="n">
        <f aca="false">'Cleaned Data'!F107</f>
        <v>20.92</v>
      </c>
      <c r="G107" s="3" t="n">
        <f aca="false">'Cleaned Data'!G107</f>
        <v>4.08</v>
      </c>
    </row>
    <row r="108" customFormat="false" ht="15" hidden="false" customHeight="false" outlineLevel="0" collapsed="false">
      <c r="A108" s="4" t="n">
        <f aca="false">IF('Cleaned Data'!A108="Female",0,1)</f>
        <v>1</v>
      </c>
      <c r="B108" s="4" t="n">
        <f aca="false">IF('Cleaned Data'!B108="No",0,1)</f>
        <v>1</v>
      </c>
      <c r="C108" s="4" t="n">
        <f aca="false">IF('Cleaned Data'!C108="Thur",1,IF('Cleaned Data'!C108="Fri",2,IF('Cleaned Data'!C108="Sat",3,4)))</f>
        <v>3</v>
      </c>
      <c r="D108" s="4" t="n">
        <f aca="false">IF('Cleaned Data'!D108="Lunch",0,1)</f>
        <v>1</v>
      </c>
      <c r="E108" s="4" t="n">
        <f aca="false">'Cleaned Data'!E108</f>
        <v>2</v>
      </c>
      <c r="F108" s="4" t="n">
        <f aca="false">'Cleaned Data'!F108</f>
        <v>15.36</v>
      </c>
      <c r="G108" s="4" t="n">
        <f aca="false">'Cleaned Data'!G108</f>
        <v>1.64</v>
      </c>
    </row>
    <row r="109" customFormat="false" ht="15" hidden="false" customHeight="false" outlineLevel="0" collapsed="false">
      <c r="A109" s="3" t="n">
        <f aca="false">IF('Cleaned Data'!A109="Female",0,1)</f>
        <v>1</v>
      </c>
      <c r="B109" s="3" t="n">
        <f aca="false">IF('Cleaned Data'!B109="No",0,1)</f>
        <v>1</v>
      </c>
      <c r="C109" s="3" t="n">
        <f aca="false">IF('Cleaned Data'!C109="Thur",1,IF('Cleaned Data'!C109="Fri",2,IF('Cleaned Data'!C109="Sat",3,4)))</f>
        <v>3</v>
      </c>
      <c r="D109" s="3" t="n">
        <f aca="false">IF('Cleaned Data'!D109="Lunch",0,1)</f>
        <v>1</v>
      </c>
      <c r="E109" s="3" t="n">
        <f aca="false">'Cleaned Data'!E109</f>
        <v>2</v>
      </c>
      <c r="F109" s="3" t="n">
        <f aca="false">'Cleaned Data'!F109</f>
        <v>20.49</v>
      </c>
      <c r="G109" s="3" t="n">
        <f aca="false">'Cleaned Data'!G109</f>
        <v>4.06</v>
      </c>
    </row>
    <row r="110" customFormat="false" ht="15" hidden="false" customHeight="false" outlineLevel="0" collapsed="false">
      <c r="A110" s="4" t="n">
        <f aca="false">IF('Cleaned Data'!A110="Female",0,1)</f>
        <v>1</v>
      </c>
      <c r="B110" s="4" t="n">
        <f aca="false">IF('Cleaned Data'!B110="No",0,1)</f>
        <v>1</v>
      </c>
      <c r="C110" s="4" t="n">
        <f aca="false">IF('Cleaned Data'!C110="Thur",1,IF('Cleaned Data'!C110="Fri",2,IF('Cleaned Data'!C110="Sat",3,4)))</f>
        <v>3</v>
      </c>
      <c r="D110" s="4" t="n">
        <f aca="false">IF('Cleaned Data'!D110="Lunch",0,1)</f>
        <v>1</v>
      </c>
      <c r="E110" s="4" t="n">
        <f aca="false">'Cleaned Data'!E110</f>
        <v>2</v>
      </c>
      <c r="F110" s="4" t="n">
        <f aca="false">'Cleaned Data'!F110</f>
        <v>25.21</v>
      </c>
      <c r="G110" s="4" t="n">
        <f aca="false">'Cleaned Data'!G110</f>
        <v>4.29</v>
      </c>
    </row>
    <row r="111" customFormat="false" ht="15" hidden="false" customHeight="false" outlineLevel="0" collapsed="false">
      <c r="A111" s="3" t="n">
        <f aca="false">IF('Cleaned Data'!A111="Female",0,1)</f>
        <v>1</v>
      </c>
      <c r="B111" s="3" t="n">
        <f aca="false">IF('Cleaned Data'!B111="No",0,1)</f>
        <v>0</v>
      </c>
      <c r="C111" s="3" t="n">
        <f aca="false">IF('Cleaned Data'!C111="Thur",1,IF('Cleaned Data'!C111="Fri",2,IF('Cleaned Data'!C111="Sat",3,4)))</f>
        <v>3</v>
      </c>
      <c r="D111" s="3" t="n">
        <f aca="false">IF('Cleaned Data'!D111="Lunch",0,1)</f>
        <v>1</v>
      </c>
      <c r="E111" s="3" t="n">
        <f aca="false">'Cleaned Data'!E111</f>
        <v>2</v>
      </c>
      <c r="F111" s="3" t="n">
        <f aca="false">'Cleaned Data'!F111</f>
        <v>18.24</v>
      </c>
      <c r="G111" s="3" t="n">
        <f aca="false">'Cleaned Data'!G111</f>
        <v>3.76</v>
      </c>
    </row>
    <row r="112" customFormat="false" ht="15" hidden="false" customHeight="false" outlineLevel="0" collapsed="false">
      <c r="A112" s="4" t="n">
        <f aca="false">IF('Cleaned Data'!A112="Female",0,1)</f>
        <v>0</v>
      </c>
      <c r="B112" s="4" t="n">
        <f aca="false">IF('Cleaned Data'!B112="No",0,1)</f>
        <v>1</v>
      </c>
      <c r="C112" s="4" t="n">
        <f aca="false">IF('Cleaned Data'!C112="Thur",1,IF('Cleaned Data'!C112="Fri",2,IF('Cleaned Data'!C112="Sat",3,4)))</f>
        <v>3</v>
      </c>
      <c r="D112" s="4" t="n">
        <f aca="false">IF('Cleaned Data'!D112="Lunch",0,1)</f>
        <v>1</v>
      </c>
      <c r="E112" s="4" t="n">
        <f aca="false">'Cleaned Data'!E112</f>
        <v>2</v>
      </c>
      <c r="F112" s="4" t="n">
        <f aca="false">'Cleaned Data'!F112</f>
        <v>14.31</v>
      </c>
      <c r="G112" s="4" t="n">
        <f aca="false">'Cleaned Data'!G112</f>
        <v>4</v>
      </c>
    </row>
    <row r="113" customFormat="false" ht="15" hidden="false" customHeight="false" outlineLevel="0" collapsed="false">
      <c r="A113" s="3" t="n">
        <f aca="false">IF('Cleaned Data'!A113="Female",0,1)</f>
        <v>1</v>
      </c>
      <c r="B113" s="3" t="n">
        <f aca="false">IF('Cleaned Data'!B113="No",0,1)</f>
        <v>0</v>
      </c>
      <c r="C113" s="3" t="n">
        <f aca="false">IF('Cleaned Data'!C113="Thur",1,IF('Cleaned Data'!C113="Fri",2,IF('Cleaned Data'!C113="Sat",3,4)))</f>
        <v>3</v>
      </c>
      <c r="D113" s="3" t="n">
        <f aca="false">IF('Cleaned Data'!D113="Lunch",0,1)</f>
        <v>1</v>
      </c>
      <c r="E113" s="3" t="n">
        <f aca="false">'Cleaned Data'!E113</f>
        <v>2</v>
      </c>
      <c r="F113" s="3" t="n">
        <f aca="false">'Cleaned Data'!F113</f>
        <v>14</v>
      </c>
      <c r="G113" s="3" t="n">
        <f aca="false">'Cleaned Data'!G113</f>
        <v>3</v>
      </c>
    </row>
    <row r="114" customFormat="false" ht="15" hidden="false" customHeight="false" outlineLevel="0" collapsed="false">
      <c r="A114" s="4" t="n">
        <f aca="false">IF('Cleaned Data'!A114="Female",0,1)</f>
        <v>0</v>
      </c>
      <c r="B114" s="4" t="n">
        <f aca="false">IF('Cleaned Data'!B114="No",0,1)</f>
        <v>0</v>
      </c>
      <c r="C114" s="4" t="n">
        <f aca="false">IF('Cleaned Data'!C114="Thur",1,IF('Cleaned Data'!C114="Fri",2,IF('Cleaned Data'!C114="Sat",3,4)))</f>
        <v>3</v>
      </c>
      <c r="D114" s="4" t="n">
        <f aca="false">IF('Cleaned Data'!D114="Lunch",0,1)</f>
        <v>1</v>
      </c>
      <c r="E114" s="4" t="n">
        <f aca="false">'Cleaned Data'!E114</f>
        <v>1</v>
      </c>
      <c r="F114" s="4" t="n">
        <f aca="false">'Cleaned Data'!F114</f>
        <v>7.25</v>
      </c>
      <c r="G114" s="4" t="n">
        <f aca="false">'Cleaned Data'!G114</f>
        <v>1</v>
      </c>
    </row>
    <row r="115" customFormat="false" ht="15" hidden="false" customHeight="false" outlineLevel="0" collapsed="false">
      <c r="A115" s="3" t="n">
        <f aca="false">IF('Cleaned Data'!A115="Female",0,1)</f>
        <v>1</v>
      </c>
      <c r="B115" s="3" t="n">
        <f aca="false">IF('Cleaned Data'!B115="No",0,1)</f>
        <v>0</v>
      </c>
      <c r="C115" s="3" t="n">
        <f aca="false">IF('Cleaned Data'!C115="Thur",1,IF('Cleaned Data'!C115="Fri",2,IF('Cleaned Data'!C115="Sat",3,4)))</f>
        <v>4</v>
      </c>
      <c r="D115" s="3" t="n">
        <f aca="false">IF('Cleaned Data'!D115="Lunch",0,1)</f>
        <v>1</v>
      </c>
      <c r="E115" s="3" t="n">
        <f aca="false">'Cleaned Data'!E115</f>
        <v>3</v>
      </c>
      <c r="F115" s="3" t="n">
        <f aca="false">'Cleaned Data'!F115</f>
        <v>38.07</v>
      </c>
      <c r="G115" s="3" t="n">
        <f aca="false">'Cleaned Data'!G115</f>
        <v>4</v>
      </c>
    </row>
    <row r="116" customFormat="false" ht="15" hidden="false" customHeight="false" outlineLevel="0" collapsed="false">
      <c r="A116" s="4" t="n">
        <f aca="false">IF('Cleaned Data'!A116="Female",0,1)</f>
        <v>1</v>
      </c>
      <c r="B116" s="4" t="n">
        <f aca="false">IF('Cleaned Data'!B116="No",0,1)</f>
        <v>0</v>
      </c>
      <c r="C116" s="4" t="n">
        <f aca="false">IF('Cleaned Data'!C116="Thur",1,IF('Cleaned Data'!C116="Fri",2,IF('Cleaned Data'!C116="Sat",3,4)))</f>
        <v>4</v>
      </c>
      <c r="D116" s="4" t="n">
        <f aca="false">IF('Cleaned Data'!D116="Lunch",0,1)</f>
        <v>1</v>
      </c>
      <c r="E116" s="4" t="n">
        <f aca="false">'Cleaned Data'!E116</f>
        <v>2</v>
      </c>
      <c r="F116" s="4" t="n">
        <f aca="false">'Cleaned Data'!F116</f>
        <v>23.95</v>
      </c>
      <c r="G116" s="4" t="n">
        <f aca="false">'Cleaned Data'!G116</f>
        <v>2.55</v>
      </c>
    </row>
    <row r="117" customFormat="false" ht="15" hidden="false" customHeight="false" outlineLevel="0" collapsed="false">
      <c r="A117" s="3" t="n">
        <f aca="false">IF('Cleaned Data'!A117="Female",0,1)</f>
        <v>0</v>
      </c>
      <c r="B117" s="3" t="n">
        <f aca="false">IF('Cleaned Data'!B117="No",0,1)</f>
        <v>0</v>
      </c>
      <c r="C117" s="3" t="n">
        <f aca="false">IF('Cleaned Data'!C117="Thur",1,IF('Cleaned Data'!C117="Fri",2,IF('Cleaned Data'!C117="Sat",3,4)))</f>
        <v>4</v>
      </c>
      <c r="D117" s="3" t="n">
        <f aca="false">IF('Cleaned Data'!D117="Lunch",0,1)</f>
        <v>1</v>
      </c>
      <c r="E117" s="3" t="n">
        <f aca="false">'Cleaned Data'!E117</f>
        <v>3</v>
      </c>
      <c r="F117" s="3" t="n">
        <f aca="false">'Cleaned Data'!F117</f>
        <v>25.71</v>
      </c>
      <c r="G117" s="3" t="n">
        <f aca="false">'Cleaned Data'!G117</f>
        <v>4</v>
      </c>
    </row>
    <row r="118" customFormat="false" ht="15" hidden="false" customHeight="false" outlineLevel="0" collapsed="false">
      <c r="A118" s="4" t="n">
        <f aca="false">IF('Cleaned Data'!A118="Female",0,1)</f>
        <v>0</v>
      </c>
      <c r="B118" s="4" t="n">
        <f aca="false">IF('Cleaned Data'!B118="No",0,1)</f>
        <v>0</v>
      </c>
      <c r="C118" s="4" t="n">
        <f aca="false">IF('Cleaned Data'!C118="Thur",1,IF('Cleaned Data'!C118="Fri",2,IF('Cleaned Data'!C118="Sat",3,4)))</f>
        <v>4</v>
      </c>
      <c r="D118" s="4" t="n">
        <f aca="false">IF('Cleaned Data'!D118="Lunch",0,1)</f>
        <v>1</v>
      </c>
      <c r="E118" s="4" t="n">
        <f aca="false">'Cleaned Data'!E118</f>
        <v>2</v>
      </c>
      <c r="F118" s="4" t="n">
        <f aca="false">'Cleaned Data'!F118</f>
        <v>17.31</v>
      </c>
      <c r="G118" s="4" t="n">
        <f aca="false">'Cleaned Data'!G118</f>
        <v>3.5</v>
      </c>
    </row>
    <row r="119" customFormat="false" ht="15" hidden="false" customHeight="false" outlineLevel="0" collapsed="false">
      <c r="A119" s="3" t="n">
        <f aca="false">IF('Cleaned Data'!A119="Female",0,1)</f>
        <v>1</v>
      </c>
      <c r="B119" s="3" t="n">
        <f aca="false">IF('Cleaned Data'!B119="No",0,1)</f>
        <v>0</v>
      </c>
      <c r="C119" s="3" t="n">
        <f aca="false">IF('Cleaned Data'!C119="Thur",1,IF('Cleaned Data'!C119="Fri",2,IF('Cleaned Data'!C119="Sat",3,4)))</f>
        <v>4</v>
      </c>
      <c r="D119" s="3" t="n">
        <f aca="false">IF('Cleaned Data'!D119="Lunch",0,1)</f>
        <v>1</v>
      </c>
      <c r="E119" s="3" t="n">
        <f aca="false">'Cleaned Data'!E119</f>
        <v>4</v>
      </c>
      <c r="F119" s="3" t="n">
        <f aca="false">'Cleaned Data'!F119</f>
        <v>29.93</v>
      </c>
      <c r="G119" s="3" t="n">
        <f aca="false">'Cleaned Data'!G119</f>
        <v>5.07</v>
      </c>
    </row>
    <row r="120" customFormat="false" ht="15" hidden="false" customHeight="false" outlineLevel="0" collapsed="false">
      <c r="A120" s="4" t="n">
        <f aca="false">IF('Cleaned Data'!A120="Female",0,1)</f>
        <v>0</v>
      </c>
      <c r="B120" s="4" t="n">
        <f aca="false">IF('Cleaned Data'!B120="No",0,1)</f>
        <v>0</v>
      </c>
      <c r="C120" s="4" t="n">
        <f aca="false">IF('Cleaned Data'!C120="Thur",1,IF('Cleaned Data'!C120="Fri",2,IF('Cleaned Data'!C120="Sat",3,4)))</f>
        <v>1</v>
      </c>
      <c r="D120" s="4" t="n">
        <f aca="false">IF('Cleaned Data'!D120="Lunch",0,1)</f>
        <v>0</v>
      </c>
      <c r="E120" s="4" t="n">
        <f aca="false">'Cleaned Data'!E120</f>
        <v>2</v>
      </c>
      <c r="F120" s="4" t="n">
        <f aca="false">'Cleaned Data'!F120</f>
        <v>10.65</v>
      </c>
      <c r="G120" s="4" t="n">
        <f aca="false">'Cleaned Data'!G120</f>
        <v>1.5</v>
      </c>
    </row>
    <row r="121" customFormat="false" ht="15" hidden="false" customHeight="false" outlineLevel="0" collapsed="false">
      <c r="A121" s="3" t="n">
        <f aca="false">IF('Cleaned Data'!A121="Female",0,1)</f>
        <v>0</v>
      </c>
      <c r="B121" s="3" t="n">
        <f aca="false">IF('Cleaned Data'!B121="No",0,1)</f>
        <v>0</v>
      </c>
      <c r="C121" s="3" t="n">
        <f aca="false">IF('Cleaned Data'!C121="Thur",1,IF('Cleaned Data'!C121="Fri",2,IF('Cleaned Data'!C121="Sat",3,4)))</f>
        <v>1</v>
      </c>
      <c r="D121" s="3" t="n">
        <f aca="false">IF('Cleaned Data'!D121="Lunch",0,1)</f>
        <v>0</v>
      </c>
      <c r="E121" s="3" t="n">
        <f aca="false">'Cleaned Data'!E121</f>
        <v>2</v>
      </c>
      <c r="F121" s="3" t="n">
        <f aca="false">'Cleaned Data'!F121</f>
        <v>12.43</v>
      </c>
      <c r="G121" s="3" t="n">
        <f aca="false">'Cleaned Data'!G121</f>
        <v>1.8</v>
      </c>
    </row>
    <row r="122" customFormat="false" ht="15" hidden="false" customHeight="false" outlineLevel="0" collapsed="false">
      <c r="A122" s="4" t="n">
        <f aca="false">IF('Cleaned Data'!A122="Female",0,1)</f>
        <v>0</v>
      </c>
      <c r="B122" s="4" t="n">
        <f aca="false">IF('Cleaned Data'!B122="No",0,1)</f>
        <v>0</v>
      </c>
      <c r="C122" s="4" t="n">
        <f aca="false">IF('Cleaned Data'!C122="Thur",1,IF('Cleaned Data'!C122="Fri",2,IF('Cleaned Data'!C122="Sat",3,4)))</f>
        <v>1</v>
      </c>
      <c r="D122" s="4" t="n">
        <f aca="false">IF('Cleaned Data'!D122="Lunch",0,1)</f>
        <v>0</v>
      </c>
      <c r="E122" s="4" t="n">
        <f aca="false">'Cleaned Data'!E122</f>
        <v>4</v>
      </c>
      <c r="F122" s="4" t="n">
        <f aca="false">'Cleaned Data'!F122</f>
        <v>24.08</v>
      </c>
      <c r="G122" s="4" t="n">
        <f aca="false">'Cleaned Data'!G122</f>
        <v>2.92</v>
      </c>
    </row>
    <row r="123" customFormat="false" ht="15" hidden="false" customHeight="false" outlineLevel="0" collapsed="false">
      <c r="A123" s="3" t="n">
        <f aca="false">IF('Cleaned Data'!A123="Female",0,1)</f>
        <v>1</v>
      </c>
      <c r="B123" s="3" t="n">
        <f aca="false">IF('Cleaned Data'!B123="No",0,1)</f>
        <v>0</v>
      </c>
      <c r="C123" s="3" t="n">
        <f aca="false">IF('Cleaned Data'!C123="Thur",1,IF('Cleaned Data'!C123="Fri",2,IF('Cleaned Data'!C123="Sat",3,4)))</f>
        <v>1</v>
      </c>
      <c r="D123" s="3" t="n">
        <f aca="false">IF('Cleaned Data'!D123="Lunch",0,1)</f>
        <v>0</v>
      </c>
      <c r="E123" s="3" t="n">
        <f aca="false">'Cleaned Data'!E123</f>
        <v>2</v>
      </c>
      <c r="F123" s="3" t="n">
        <f aca="false">'Cleaned Data'!F123</f>
        <v>11.69</v>
      </c>
      <c r="G123" s="3" t="n">
        <f aca="false">'Cleaned Data'!G123</f>
        <v>2.31</v>
      </c>
    </row>
    <row r="124" customFormat="false" ht="15" hidden="false" customHeight="false" outlineLevel="0" collapsed="false">
      <c r="A124" s="4" t="n">
        <f aca="false">IF('Cleaned Data'!A124="Female",0,1)</f>
        <v>0</v>
      </c>
      <c r="B124" s="4" t="n">
        <f aca="false">IF('Cleaned Data'!B124="No",0,1)</f>
        <v>0</v>
      </c>
      <c r="C124" s="4" t="n">
        <f aca="false">IF('Cleaned Data'!C124="Thur",1,IF('Cleaned Data'!C124="Fri",2,IF('Cleaned Data'!C124="Sat",3,4)))</f>
        <v>1</v>
      </c>
      <c r="D124" s="4" t="n">
        <f aca="false">IF('Cleaned Data'!D124="Lunch",0,1)</f>
        <v>0</v>
      </c>
      <c r="E124" s="4" t="n">
        <f aca="false">'Cleaned Data'!E124</f>
        <v>2</v>
      </c>
      <c r="F124" s="4" t="n">
        <f aca="false">'Cleaned Data'!F124</f>
        <v>13.42</v>
      </c>
      <c r="G124" s="4" t="n">
        <f aca="false">'Cleaned Data'!G124</f>
        <v>1.68</v>
      </c>
    </row>
    <row r="125" customFormat="false" ht="15" hidden="false" customHeight="false" outlineLevel="0" collapsed="false">
      <c r="A125" s="3" t="n">
        <f aca="false">IF('Cleaned Data'!A125="Female",0,1)</f>
        <v>1</v>
      </c>
      <c r="B125" s="3" t="n">
        <f aca="false">IF('Cleaned Data'!B125="No",0,1)</f>
        <v>0</v>
      </c>
      <c r="C125" s="3" t="n">
        <f aca="false">IF('Cleaned Data'!C125="Thur",1,IF('Cleaned Data'!C125="Fri",2,IF('Cleaned Data'!C125="Sat",3,4)))</f>
        <v>1</v>
      </c>
      <c r="D125" s="3" t="n">
        <f aca="false">IF('Cleaned Data'!D125="Lunch",0,1)</f>
        <v>0</v>
      </c>
      <c r="E125" s="3" t="n">
        <f aca="false">'Cleaned Data'!E125</f>
        <v>2</v>
      </c>
      <c r="F125" s="3" t="n">
        <f aca="false">'Cleaned Data'!F125</f>
        <v>14.26</v>
      </c>
      <c r="G125" s="3" t="n">
        <f aca="false">'Cleaned Data'!G125</f>
        <v>2.5</v>
      </c>
    </row>
    <row r="126" customFormat="false" ht="15" hidden="false" customHeight="false" outlineLevel="0" collapsed="false">
      <c r="A126" s="4" t="n">
        <f aca="false">IF('Cleaned Data'!A126="Female",0,1)</f>
        <v>1</v>
      </c>
      <c r="B126" s="4" t="n">
        <f aca="false">IF('Cleaned Data'!B126="No",0,1)</f>
        <v>0</v>
      </c>
      <c r="C126" s="4" t="n">
        <f aca="false">IF('Cleaned Data'!C126="Thur",1,IF('Cleaned Data'!C126="Fri",2,IF('Cleaned Data'!C126="Sat",3,4)))</f>
        <v>1</v>
      </c>
      <c r="D126" s="4" t="n">
        <f aca="false">IF('Cleaned Data'!D126="Lunch",0,1)</f>
        <v>0</v>
      </c>
      <c r="E126" s="4" t="n">
        <f aca="false">'Cleaned Data'!E126</f>
        <v>2</v>
      </c>
      <c r="F126" s="4" t="n">
        <f aca="false">'Cleaned Data'!F126</f>
        <v>15.95</v>
      </c>
      <c r="G126" s="4" t="n">
        <f aca="false">'Cleaned Data'!G126</f>
        <v>2</v>
      </c>
    </row>
    <row r="127" customFormat="false" ht="15" hidden="false" customHeight="false" outlineLevel="0" collapsed="false">
      <c r="A127" s="3" t="n">
        <f aca="false">IF('Cleaned Data'!A127="Female",0,1)</f>
        <v>0</v>
      </c>
      <c r="B127" s="3" t="n">
        <f aca="false">IF('Cleaned Data'!B127="No",0,1)</f>
        <v>0</v>
      </c>
      <c r="C127" s="3" t="n">
        <f aca="false">IF('Cleaned Data'!C127="Thur",1,IF('Cleaned Data'!C127="Fri",2,IF('Cleaned Data'!C127="Sat",3,4)))</f>
        <v>1</v>
      </c>
      <c r="D127" s="3" t="n">
        <f aca="false">IF('Cleaned Data'!D127="Lunch",0,1)</f>
        <v>0</v>
      </c>
      <c r="E127" s="3" t="n">
        <f aca="false">'Cleaned Data'!E127</f>
        <v>2</v>
      </c>
      <c r="F127" s="3" t="n">
        <f aca="false">'Cleaned Data'!F127</f>
        <v>12.48</v>
      </c>
      <c r="G127" s="3" t="n">
        <f aca="false">'Cleaned Data'!G127</f>
        <v>2.52</v>
      </c>
    </row>
    <row r="128" customFormat="false" ht="15" hidden="false" customHeight="false" outlineLevel="0" collapsed="false">
      <c r="A128" s="4" t="n">
        <f aca="false">IF('Cleaned Data'!A128="Female",0,1)</f>
        <v>0</v>
      </c>
      <c r="B128" s="4" t="n">
        <f aca="false">IF('Cleaned Data'!B128="No",0,1)</f>
        <v>0</v>
      </c>
      <c r="C128" s="4" t="n">
        <f aca="false">IF('Cleaned Data'!C128="Thur",1,IF('Cleaned Data'!C128="Fri",2,IF('Cleaned Data'!C128="Sat",3,4)))</f>
        <v>1</v>
      </c>
      <c r="D128" s="4" t="n">
        <f aca="false">IF('Cleaned Data'!D128="Lunch",0,1)</f>
        <v>0</v>
      </c>
      <c r="E128" s="4" t="n">
        <f aca="false">'Cleaned Data'!E128</f>
        <v>6</v>
      </c>
      <c r="F128" s="4" t="n">
        <f aca="false">'Cleaned Data'!F128</f>
        <v>29.8</v>
      </c>
      <c r="G128" s="4" t="n">
        <f aca="false">'Cleaned Data'!G128</f>
        <v>4.2</v>
      </c>
    </row>
    <row r="129" customFormat="false" ht="15" hidden="false" customHeight="false" outlineLevel="0" collapsed="false">
      <c r="A129" s="3" t="n">
        <f aca="false">IF('Cleaned Data'!A129="Female",0,1)</f>
        <v>1</v>
      </c>
      <c r="B129" s="3" t="n">
        <f aca="false">IF('Cleaned Data'!B129="No",0,1)</f>
        <v>0</v>
      </c>
      <c r="C129" s="3" t="n">
        <f aca="false">IF('Cleaned Data'!C129="Thur",1,IF('Cleaned Data'!C129="Fri",2,IF('Cleaned Data'!C129="Sat",3,4)))</f>
        <v>1</v>
      </c>
      <c r="D129" s="3" t="n">
        <f aca="false">IF('Cleaned Data'!D129="Lunch",0,1)</f>
        <v>0</v>
      </c>
      <c r="E129" s="3" t="n">
        <f aca="false">'Cleaned Data'!E129</f>
        <v>2</v>
      </c>
      <c r="F129" s="3" t="n">
        <f aca="false">'Cleaned Data'!F129</f>
        <v>8.52</v>
      </c>
      <c r="G129" s="3" t="n">
        <f aca="false">'Cleaned Data'!G129</f>
        <v>1.48</v>
      </c>
    </row>
    <row r="130" customFormat="false" ht="15" hidden="false" customHeight="false" outlineLevel="0" collapsed="false">
      <c r="A130" s="4" t="n">
        <f aca="false">IF('Cleaned Data'!A130="Female",0,1)</f>
        <v>0</v>
      </c>
      <c r="B130" s="4" t="n">
        <f aca="false">IF('Cleaned Data'!B130="No",0,1)</f>
        <v>0</v>
      </c>
      <c r="C130" s="4" t="n">
        <f aca="false">IF('Cleaned Data'!C130="Thur",1,IF('Cleaned Data'!C130="Fri",2,IF('Cleaned Data'!C130="Sat",3,4)))</f>
        <v>1</v>
      </c>
      <c r="D130" s="4" t="n">
        <f aca="false">IF('Cleaned Data'!D130="Lunch",0,1)</f>
        <v>0</v>
      </c>
      <c r="E130" s="4" t="n">
        <f aca="false">'Cleaned Data'!E130</f>
        <v>2</v>
      </c>
      <c r="F130" s="4" t="n">
        <f aca="false">'Cleaned Data'!F130</f>
        <v>14.52</v>
      </c>
      <c r="G130" s="4" t="n">
        <f aca="false">'Cleaned Data'!G130</f>
        <v>2</v>
      </c>
    </row>
    <row r="131" customFormat="false" ht="15" hidden="false" customHeight="false" outlineLevel="0" collapsed="false">
      <c r="A131" s="3" t="n">
        <f aca="false">IF('Cleaned Data'!A131="Female",0,1)</f>
        <v>0</v>
      </c>
      <c r="B131" s="3" t="n">
        <f aca="false">IF('Cleaned Data'!B131="No",0,1)</f>
        <v>0</v>
      </c>
      <c r="C131" s="3" t="n">
        <f aca="false">IF('Cleaned Data'!C131="Thur",1,IF('Cleaned Data'!C131="Fri",2,IF('Cleaned Data'!C131="Sat",3,4)))</f>
        <v>1</v>
      </c>
      <c r="D131" s="3" t="n">
        <f aca="false">IF('Cleaned Data'!D131="Lunch",0,1)</f>
        <v>0</v>
      </c>
      <c r="E131" s="3" t="n">
        <f aca="false">'Cleaned Data'!E131</f>
        <v>2</v>
      </c>
      <c r="F131" s="3" t="n">
        <f aca="false">'Cleaned Data'!F131</f>
        <v>11.38</v>
      </c>
      <c r="G131" s="3" t="n">
        <f aca="false">'Cleaned Data'!G131</f>
        <v>2</v>
      </c>
    </row>
    <row r="132" customFormat="false" ht="15" hidden="false" customHeight="false" outlineLevel="0" collapsed="false">
      <c r="A132" s="4" t="n">
        <f aca="false">IF('Cleaned Data'!A132="Female",0,1)</f>
        <v>1</v>
      </c>
      <c r="B132" s="4" t="n">
        <f aca="false">IF('Cleaned Data'!B132="No",0,1)</f>
        <v>0</v>
      </c>
      <c r="C132" s="4" t="n">
        <f aca="false">IF('Cleaned Data'!C132="Thur",1,IF('Cleaned Data'!C132="Fri",2,IF('Cleaned Data'!C132="Sat",3,4)))</f>
        <v>1</v>
      </c>
      <c r="D132" s="4" t="n">
        <f aca="false">IF('Cleaned Data'!D132="Lunch",0,1)</f>
        <v>0</v>
      </c>
      <c r="E132" s="4" t="n">
        <f aca="false">'Cleaned Data'!E132</f>
        <v>3</v>
      </c>
      <c r="F132" s="4" t="n">
        <f aca="false">'Cleaned Data'!F132</f>
        <v>22.82</v>
      </c>
      <c r="G132" s="4" t="n">
        <f aca="false">'Cleaned Data'!G132</f>
        <v>2.18</v>
      </c>
    </row>
    <row r="133" customFormat="false" ht="15" hidden="false" customHeight="false" outlineLevel="0" collapsed="false">
      <c r="A133" s="3" t="n">
        <f aca="false">IF('Cleaned Data'!A133="Female",0,1)</f>
        <v>1</v>
      </c>
      <c r="B133" s="3" t="n">
        <f aca="false">IF('Cleaned Data'!B133="No",0,1)</f>
        <v>0</v>
      </c>
      <c r="C133" s="3" t="n">
        <f aca="false">IF('Cleaned Data'!C133="Thur",1,IF('Cleaned Data'!C133="Fri",2,IF('Cleaned Data'!C133="Sat",3,4)))</f>
        <v>1</v>
      </c>
      <c r="D133" s="3" t="n">
        <f aca="false">IF('Cleaned Data'!D133="Lunch",0,1)</f>
        <v>0</v>
      </c>
      <c r="E133" s="3" t="n">
        <f aca="false">'Cleaned Data'!E133</f>
        <v>2</v>
      </c>
      <c r="F133" s="3" t="n">
        <f aca="false">'Cleaned Data'!F133</f>
        <v>19.08</v>
      </c>
      <c r="G133" s="3" t="n">
        <f aca="false">'Cleaned Data'!G133</f>
        <v>1.5</v>
      </c>
    </row>
    <row r="134" customFormat="false" ht="15" hidden="false" customHeight="false" outlineLevel="0" collapsed="false">
      <c r="A134" s="4" t="n">
        <f aca="false">IF('Cleaned Data'!A134="Female",0,1)</f>
        <v>0</v>
      </c>
      <c r="B134" s="4" t="n">
        <f aca="false">IF('Cleaned Data'!B134="No",0,1)</f>
        <v>0</v>
      </c>
      <c r="C134" s="4" t="n">
        <f aca="false">IF('Cleaned Data'!C134="Thur",1,IF('Cleaned Data'!C134="Fri",2,IF('Cleaned Data'!C134="Sat",3,4)))</f>
        <v>1</v>
      </c>
      <c r="D134" s="4" t="n">
        <f aca="false">IF('Cleaned Data'!D134="Lunch",0,1)</f>
        <v>0</v>
      </c>
      <c r="E134" s="4" t="n">
        <f aca="false">'Cleaned Data'!E134</f>
        <v>2</v>
      </c>
      <c r="F134" s="4" t="n">
        <f aca="false">'Cleaned Data'!F134</f>
        <v>20.27</v>
      </c>
      <c r="G134" s="4" t="n">
        <f aca="false">'Cleaned Data'!G134</f>
        <v>2.83</v>
      </c>
    </row>
    <row r="135" customFormat="false" ht="15" hidden="false" customHeight="false" outlineLevel="0" collapsed="false">
      <c r="A135" s="3" t="n">
        <f aca="false">IF('Cleaned Data'!A135="Female",0,1)</f>
        <v>0</v>
      </c>
      <c r="B135" s="3" t="n">
        <f aca="false">IF('Cleaned Data'!B135="No",0,1)</f>
        <v>0</v>
      </c>
      <c r="C135" s="3" t="n">
        <f aca="false">IF('Cleaned Data'!C135="Thur",1,IF('Cleaned Data'!C135="Fri",2,IF('Cleaned Data'!C135="Sat",3,4)))</f>
        <v>1</v>
      </c>
      <c r="D135" s="3" t="n">
        <f aca="false">IF('Cleaned Data'!D135="Lunch",0,1)</f>
        <v>0</v>
      </c>
      <c r="E135" s="3" t="n">
        <f aca="false">'Cleaned Data'!E135</f>
        <v>2</v>
      </c>
      <c r="F135" s="3" t="n">
        <f aca="false">'Cleaned Data'!F135</f>
        <v>11.17</v>
      </c>
      <c r="G135" s="3" t="n">
        <f aca="false">'Cleaned Data'!G135</f>
        <v>1.5</v>
      </c>
    </row>
    <row r="136" customFormat="false" ht="15" hidden="false" customHeight="false" outlineLevel="0" collapsed="false">
      <c r="A136" s="4" t="n">
        <f aca="false">IF('Cleaned Data'!A136="Female",0,1)</f>
        <v>0</v>
      </c>
      <c r="B136" s="4" t="n">
        <f aca="false">IF('Cleaned Data'!B136="No",0,1)</f>
        <v>0</v>
      </c>
      <c r="C136" s="4" t="n">
        <f aca="false">IF('Cleaned Data'!C136="Thur",1,IF('Cleaned Data'!C136="Fri",2,IF('Cleaned Data'!C136="Sat",3,4)))</f>
        <v>1</v>
      </c>
      <c r="D136" s="4" t="n">
        <f aca="false">IF('Cleaned Data'!D136="Lunch",0,1)</f>
        <v>0</v>
      </c>
      <c r="E136" s="4" t="n">
        <f aca="false">'Cleaned Data'!E136</f>
        <v>2</v>
      </c>
      <c r="F136" s="4" t="n">
        <f aca="false">'Cleaned Data'!F136</f>
        <v>12.26</v>
      </c>
      <c r="G136" s="4" t="n">
        <f aca="false">'Cleaned Data'!G136</f>
        <v>2</v>
      </c>
    </row>
    <row r="137" customFormat="false" ht="15" hidden="false" customHeight="false" outlineLevel="0" collapsed="false">
      <c r="A137" s="3" t="n">
        <f aca="false">IF('Cleaned Data'!A137="Female",0,1)</f>
        <v>0</v>
      </c>
      <c r="B137" s="3" t="n">
        <f aca="false">IF('Cleaned Data'!B137="No",0,1)</f>
        <v>0</v>
      </c>
      <c r="C137" s="3" t="n">
        <f aca="false">IF('Cleaned Data'!C137="Thur",1,IF('Cleaned Data'!C137="Fri",2,IF('Cleaned Data'!C137="Sat",3,4)))</f>
        <v>1</v>
      </c>
      <c r="D137" s="3" t="n">
        <f aca="false">IF('Cleaned Data'!D137="Lunch",0,1)</f>
        <v>0</v>
      </c>
      <c r="E137" s="3" t="n">
        <f aca="false">'Cleaned Data'!E137</f>
        <v>2</v>
      </c>
      <c r="F137" s="3" t="n">
        <f aca="false">'Cleaned Data'!F137</f>
        <v>18.26</v>
      </c>
      <c r="G137" s="3" t="n">
        <f aca="false">'Cleaned Data'!G137</f>
        <v>3.25</v>
      </c>
    </row>
    <row r="138" customFormat="false" ht="15" hidden="false" customHeight="false" outlineLevel="0" collapsed="false">
      <c r="A138" s="4" t="n">
        <f aca="false">IF('Cleaned Data'!A138="Female",0,1)</f>
        <v>0</v>
      </c>
      <c r="B138" s="4" t="n">
        <f aca="false">IF('Cleaned Data'!B138="No",0,1)</f>
        <v>0</v>
      </c>
      <c r="C138" s="4" t="n">
        <f aca="false">IF('Cleaned Data'!C138="Thur",1,IF('Cleaned Data'!C138="Fri",2,IF('Cleaned Data'!C138="Sat",3,4)))</f>
        <v>1</v>
      </c>
      <c r="D138" s="4" t="n">
        <f aca="false">IF('Cleaned Data'!D138="Lunch",0,1)</f>
        <v>0</v>
      </c>
      <c r="E138" s="4" t="n">
        <f aca="false">'Cleaned Data'!E138</f>
        <v>2</v>
      </c>
      <c r="F138" s="4" t="n">
        <f aca="false">'Cleaned Data'!F138</f>
        <v>8.51</v>
      </c>
      <c r="G138" s="4" t="n">
        <f aca="false">'Cleaned Data'!G138</f>
        <v>1.25</v>
      </c>
    </row>
    <row r="139" customFormat="false" ht="15" hidden="false" customHeight="false" outlineLevel="0" collapsed="false">
      <c r="A139" s="3" t="n">
        <f aca="false">IF('Cleaned Data'!A139="Female",0,1)</f>
        <v>0</v>
      </c>
      <c r="B139" s="3" t="n">
        <f aca="false">IF('Cleaned Data'!B139="No",0,1)</f>
        <v>0</v>
      </c>
      <c r="C139" s="3" t="n">
        <f aca="false">IF('Cleaned Data'!C139="Thur",1,IF('Cleaned Data'!C139="Fri",2,IF('Cleaned Data'!C139="Sat",3,4)))</f>
        <v>1</v>
      </c>
      <c r="D139" s="3" t="n">
        <f aca="false">IF('Cleaned Data'!D139="Lunch",0,1)</f>
        <v>0</v>
      </c>
      <c r="E139" s="3" t="n">
        <f aca="false">'Cleaned Data'!E139</f>
        <v>2</v>
      </c>
      <c r="F139" s="3" t="n">
        <f aca="false">'Cleaned Data'!F139</f>
        <v>10.33</v>
      </c>
      <c r="G139" s="3" t="n">
        <f aca="false">'Cleaned Data'!G139</f>
        <v>2</v>
      </c>
    </row>
    <row r="140" customFormat="false" ht="15" hidden="false" customHeight="false" outlineLevel="0" collapsed="false">
      <c r="A140" s="4" t="n">
        <f aca="false">IF('Cleaned Data'!A140="Female",0,1)</f>
        <v>0</v>
      </c>
      <c r="B140" s="4" t="n">
        <f aca="false">IF('Cleaned Data'!B140="No",0,1)</f>
        <v>0</v>
      </c>
      <c r="C140" s="4" t="n">
        <f aca="false">IF('Cleaned Data'!C140="Thur",1,IF('Cleaned Data'!C140="Fri",2,IF('Cleaned Data'!C140="Sat",3,4)))</f>
        <v>1</v>
      </c>
      <c r="D140" s="4" t="n">
        <f aca="false">IF('Cleaned Data'!D140="Lunch",0,1)</f>
        <v>0</v>
      </c>
      <c r="E140" s="4" t="n">
        <f aca="false">'Cleaned Data'!E140</f>
        <v>2</v>
      </c>
      <c r="F140" s="4" t="n">
        <f aca="false">'Cleaned Data'!F140</f>
        <v>14.15</v>
      </c>
      <c r="G140" s="4" t="n">
        <f aca="false">'Cleaned Data'!G140</f>
        <v>2</v>
      </c>
    </row>
    <row r="141" customFormat="false" ht="15" hidden="false" customHeight="false" outlineLevel="0" collapsed="false">
      <c r="A141" s="3" t="n">
        <f aca="false">IF('Cleaned Data'!A141="Female",0,1)</f>
        <v>1</v>
      </c>
      <c r="B141" s="3" t="n">
        <f aca="false">IF('Cleaned Data'!B141="No",0,1)</f>
        <v>1</v>
      </c>
      <c r="C141" s="3" t="n">
        <f aca="false">IF('Cleaned Data'!C141="Thur",1,IF('Cleaned Data'!C141="Fri",2,IF('Cleaned Data'!C141="Sat",3,4)))</f>
        <v>1</v>
      </c>
      <c r="D141" s="3" t="n">
        <f aca="false">IF('Cleaned Data'!D141="Lunch",0,1)</f>
        <v>0</v>
      </c>
      <c r="E141" s="3" t="n">
        <f aca="false">'Cleaned Data'!E141</f>
        <v>2</v>
      </c>
      <c r="F141" s="3" t="n">
        <f aca="false">'Cleaned Data'!F141</f>
        <v>16</v>
      </c>
      <c r="G141" s="3" t="n">
        <f aca="false">'Cleaned Data'!G141</f>
        <v>2</v>
      </c>
    </row>
    <row r="142" customFormat="false" ht="15" hidden="false" customHeight="false" outlineLevel="0" collapsed="false">
      <c r="A142" s="4" t="n">
        <f aca="false">IF('Cleaned Data'!A142="Female",0,1)</f>
        <v>0</v>
      </c>
      <c r="B142" s="4" t="n">
        <f aca="false">IF('Cleaned Data'!B142="No",0,1)</f>
        <v>0</v>
      </c>
      <c r="C142" s="4" t="n">
        <f aca="false">IF('Cleaned Data'!C142="Thur",1,IF('Cleaned Data'!C142="Fri",2,IF('Cleaned Data'!C142="Sat",3,4)))</f>
        <v>1</v>
      </c>
      <c r="D142" s="4" t="n">
        <f aca="false">IF('Cleaned Data'!D142="Lunch",0,1)</f>
        <v>0</v>
      </c>
      <c r="E142" s="4" t="n">
        <f aca="false">'Cleaned Data'!E142</f>
        <v>2</v>
      </c>
      <c r="F142" s="4" t="n">
        <f aca="false">'Cleaned Data'!F142</f>
        <v>13.16</v>
      </c>
      <c r="G142" s="4" t="n">
        <f aca="false">'Cleaned Data'!G142</f>
        <v>2.75</v>
      </c>
    </row>
    <row r="143" customFormat="false" ht="15" hidden="false" customHeight="false" outlineLevel="0" collapsed="false">
      <c r="A143" s="3" t="n">
        <f aca="false">IF('Cleaned Data'!A143="Female",0,1)</f>
        <v>0</v>
      </c>
      <c r="B143" s="3" t="n">
        <f aca="false">IF('Cleaned Data'!B143="No",0,1)</f>
        <v>0</v>
      </c>
      <c r="C143" s="3" t="n">
        <f aca="false">IF('Cleaned Data'!C143="Thur",1,IF('Cleaned Data'!C143="Fri",2,IF('Cleaned Data'!C143="Sat",3,4)))</f>
        <v>1</v>
      </c>
      <c r="D143" s="3" t="n">
        <f aca="false">IF('Cleaned Data'!D143="Lunch",0,1)</f>
        <v>0</v>
      </c>
      <c r="E143" s="3" t="n">
        <f aca="false">'Cleaned Data'!E143</f>
        <v>2</v>
      </c>
      <c r="F143" s="3" t="n">
        <f aca="false">'Cleaned Data'!F143</f>
        <v>17.47</v>
      </c>
      <c r="G143" s="3" t="n">
        <f aca="false">'Cleaned Data'!G143</f>
        <v>3.5</v>
      </c>
    </row>
    <row r="144" customFormat="false" ht="15" hidden="false" customHeight="false" outlineLevel="0" collapsed="false">
      <c r="A144" s="4" t="n">
        <f aca="false">IF('Cleaned Data'!A144="Female",0,1)</f>
        <v>1</v>
      </c>
      <c r="B144" s="4" t="n">
        <f aca="false">IF('Cleaned Data'!B144="No",0,1)</f>
        <v>0</v>
      </c>
      <c r="C144" s="4" t="n">
        <f aca="false">IF('Cleaned Data'!C144="Thur",1,IF('Cleaned Data'!C144="Fri",2,IF('Cleaned Data'!C144="Sat",3,4)))</f>
        <v>1</v>
      </c>
      <c r="D144" s="4" t="n">
        <f aca="false">IF('Cleaned Data'!D144="Lunch",0,1)</f>
        <v>0</v>
      </c>
      <c r="E144" s="4" t="n">
        <f aca="false">'Cleaned Data'!E144</f>
        <v>6</v>
      </c>
      <c r="F144" s="4" t="n">
        <f aca="false">'Cleaned Data'!F144</f>
        <v>34.3</v>
      </c>
      <c r="G144" s="4" t="n">
        <f aca="false">'Cleaned Data'!G144</f>
        <v>6.7</v>
      </c>
    </row>
    <row r="145" customFormat="false" ht="15" hidden="false" customHeight="false" outlineLevel="0" collapsed="false">
      <c r="A145" s="3" t="n">
        <f aca="false">IF('Cleaned Data'!A145="Female",0,1)</f>
        <v>1</v>
      </c>
      <c r="B145" s="3" t="n">
        <f aca="false">IF('Cleaned Data'!B145="No",0,1)</f>
        <v>0</v>
      </c>
      <c r="C145" s="3" t="n">
        <f aca="false">IF('Cleaned Data'!C145="Thur",1,IF('Cleaned Data'!C145="Fri",2,IF('Cleaned Data'!C145="Sat",3,4)))</f>
        <v>1</v>
      </c>
      <c r="D145" s="3" t="n">
        <f aca="false">IF('Cleaned Data'!D145="Lunch",0,1)</f>
        <v>0</v>
      </c>
      <c r="E145" s="3" t="n">
        <f aca="false">'Cleaned Data'!E145</f>
        <v>5</v>
      </c>
      <c r="F145" s="3" t="n">
        <f aca="false">'Cleaned Data'!F145</f>
        <v>41.19</v>
      </c>
      <c r="G145" s="3" t="n">
        <f aca="false">'Cleaned Data'!G145</f>
        <v>5</v>
      </c>
    </row>
    <row r="146" customFormat="false" ht="15" hidden="false" customHeight="false" outlineLevel="0" collapsed="false">
      <c r="A146" s="4" t="n">
        <f aca="false">IF('Cleaned Data'!A146="Female",0,1)</f>
        <v>0</v>
      </c>
      <c r="B146" s="4" t="n">
        <f aca="false">IF('Cleaned Data'!B146="No",0,1)</f>
        <v>0</v>
      </c>
      <c r="C146" s="4" t="n">
        <f aca="false">IF('Cleaned Data'!C146="Thur",1,IF('Cleaned Data'!C146="Fri",2,IF('Cleaned Data'!C146="Sat",3,4)))</f>
        <v>1</v>
      </c>
      <c r="D146" s="4" t="n">
        <f aca="false">IF('Cleaned Data'!D146="Lunch",0,1)</f>
        <v>0</v>
      </c>
      <c r="E146" s="4" t="n">
        <f aca="false">'Cleaned Data'!E146</f>
        <v>6</v>
      </c>
      <c r="F146" s="4" t="n">
        <f aca="false">'Cleaned Data'!F146</f>
        <v>27.05</v>
      </c>
      <c r="G146" s="4" t="n">
        <f aca="false">'Cleaned Data'!G146</f>
        <v>5</v>
      </c>
    </row>
    <row r="147" customFormat="false" ht="15" hidden="false" customHeight="false" outlineLevel="0" collapsed="false">
      <c r="A147" s="3" t="n">
        <f aca="false">IF('Cleaned Data'!A147="Female",0,1)</f>
        <v>0</v>
      </c>
      <c r="B147" s="3" t="n">
        <f aca="false">IF('Cleaned Data'!B147="No",0,1)</f>
        <v>0</v>
      </c>
      <c r="C147" s="3" t="n">
        <f aca="false">IF('Cleaned Data'!C147="Thur",1,IF('Cleaned Data'!C147="Fri",2,IF('Cleaned Data'!C147="Sat",3,4)))</f>
        <v>1</v>
      </c>
      <c r="D147" s="3" t="n">
        <f aca="false">IF('Cleaned Data'!D147="Lunch",0,1)</f>
        <v>0</v>
      </c>
      <c r="E147" s="3" t="n">
        <f aca="false">'Cleaned Data'!E147</f>
        <v>2</v>
      </c>
      <c r="F147" s="3" t="n">
        <f aca="false">'Cleaned Data'!F147</f>
        <v>16.43</v>
      </c>
      <c r="G147" s="3" t="n">
        <f aca="false">'Cleaned Data'!G147</f>
        <v>2.3</v>
      </c>
    </row>
    <row r="148" customFormat="false" ht="15" hidden="false" customHeight="false" outlineLevel="0" collapsed="false">
      <c r="A148" s="4" t="n">
        <f aca="false">IF('Cleaned Data'!A148="Female",0,1)</f>
        <v>0</v>
      </c>
      <c r="B148" s="4" t="n">
        <f aca="false">IF('Cleaned Data'!B148="No",0,1)</f>
        <v>0</v>
      </c>
      <c r="C148" s="4" t="n">
        <f aca="false">IF('Cleaned Data'!C148="Thur",1,IF('Cleaned Data'!C148="Fri",2,IF('Cleaned Data'!C148="Sat",3,4)))</f>
        <v>1</v>
      </c>
      <c r="D148" s="4" t="n">
        <f aca="false">IF('Cleaned Data'!D148="Lunch",0,1)</f>
        <v>0</v>
      </c>
      <c r="E148" s="4" t="n">
        <f aca="false">'Cleaned Data'!E148</f>
        <v>2</v>
      </c>
      <c r="F148" s="4" t="n">
        <f aca="false">'Cleaned Data'!F148</f>
        <v>8.35</v>
      </c>
      <c r="G148" s="4" t="n">
        <f aca="false">'Cleaned Data'!G148</f>
        <v>1.5</v>
      </c>
    </row>
    <row r="149" customFormat="false" ht="15" hidden="false" customHeight="false" outlineLevel="0" collapsed="false">
      <c r="A149" s="3" t="n">
        <f aca="false">IF('Cleaned Data'!A149="Female",0,1)</f>
        <v>0</v>
      </c>
      <c r="B149" s="3" t="n">
        <f aca="false">IF('Cleaned Data'!B149="No",0,1)</f>
        <v>0</v>
      </c>
      <c r="C149" s="3" t="n">
        <f aca="false">IF('Cleaned Data'!C149="Thur",1,IF('Cleaned Data'!C149="Fri",2,IF('Cleaned Data'!C149="Sat",3,4)))</f>
        <v>1</v>
      </c>
      <c r="D149" s="3" t="n">
        <f aca="false">IF('Cleaned Data'!D149="Lunch",0,1)</f>
        <v>0</v>
      </c>
      <c r="E149" s="3" t="n">
        <f aca="false">'Cleaned Data'!E149</f>
        <v>3</v>
      </c>
      <c r="F149" s="3" t="n">
        <f aca="false">'Cleaned Data'!F149</f>
        <v>18.64</v>
      </c>
      <c r="G149" s="3" t="n">
        <f aca="false">'Cleaned Data'!G149</f>
        <v>1.36</v>
      </c>
    </row>
    <row r="150" customFormat="false" ht="15" hidden="false" customHeight="false" outlineLevel="0" collapsed="false">
      <c r="A150" s="4" t="n">
        <f aca="false">IF('Cleaned Data'!A150="Female",0,1)</f>
        <v>0</v>
      </c>
      <c r="B150" s="4" t="n">
        <f aca="false">IF('Cleaned Data'!B150="No",0,1)</f>
        <v>0</v>
      </c>
      <c r="C150" s="4" t="n">
        <f aca="false">IF('Cleaned Data'!C150="Thur",1,IF('Cleaned Data'!C150="Fri",2,IF('Cleaned Data'!C150="Sat",3,4)))</f>
        <v>1</v>
      </c>
      <c r="D150" s="4" t="n">
        <f aca="false">IF('Cleaned Data'!D150="Lunch",0,1)</f>
        <v>0</v>
      </c>
      <c r="E150" s="4" t="n">
        <f aca="false">'Cleaned Data'!E150</f>
        <v>2</v>
      </c>
      <c r="F150" s="4" t="n">
        <f aca="false">'Cleaned Data'!F150</f>
        <v>11.87</v>
      </c>
      <c r="G150" s="4" t="n">
        <f aca="false">'Cleaned Data'!G150</f>
        <v>1.63</v>
      </c>
    </row>
    <row r="151" customFormat="false" ht="15" hidden="false" customHeight="false" outlineLevel="0" collapsed="false">
      <c r="A151" s="3" t="n">
        <f aca="false">IF('Cleaned Data'!A151="Female",0,1)</f>
        <v>1</v>
      </c>
      <c r="B151" s="3" t="n">
        <f aca="false">IF('Cleaned Data'!B151="No",0,1)</f>
        <v>0</v>
      </c>
      <c r="C151" s="3" t="n">
        <f aca="false">IF('Cleaned Data'!C151="Thur",1,IF('Cleaned Data'!C151="Fri",2,IF('Cleaned Data'!C151="Sat",3,4)))</f>
        <v>1</v>
      </c>
      <c r="D151" s="3" t="n">
        <f aca="false">IF('Cleaned Data'!D151="Lunch",0,1)</f>
        <v>0</v>
      </c>
      <c r="E151" s="3" t="n">
        <f aca="false">'Cleaned Data'!E151</f>
        <v>2</v>
      </c>
      <c r="F151" s="3" t="n">
        <f aca="false">'Cleaned Data'!F151</f>
        <v>9.78</v>
      </c>
      <c r="G151" s="3" t="n">
        <f aca="false">'Cleaned Data'!G151</f>
        <v>1.73</v>
      </c>
    </row>
    <row r="152" customFormat="false" ht="15" hidden="false" customHeight="false" outlineLevel="0" collapsed="false">
      <c r="A152" s="4" t="n">
        <f aca="false">IF('Cleaned Data'!A152="Female",0,1)</f>
        <v>1</v>
      </c>
      <c r="B152" s="4" t="n">
        <f aca="false">IF('Cleaned Data'!B152="No",0,1)</f>
        <v>0</v>
      </c>
      <c r="C152" s="4" t="n">
        <f aca="false">IF('Cleaned Data'!C152="Thur",1,IF('Cleaned Data'!C152="Fri",2,IF('Cleaned Data'!C152="Sat",3,4)))</f>
        <v>1</v>
      </c>
      <c r="D152" s="4" t="n">
        <f aca="false">IF('Cleaned Data'!D152="Lunch",0,1)</f>
        <v>0</v>
      </c>
      <c r="E152" s="4" t="n">
        <f aca="false">'Cleaned Data'!E152</f>
        <v>2</v>
      </c>
      <c r="F152" s="4" t="n">
        <f aca="false">'Cleaned Data'!F152</f>
        <v>7.51</v>
      </c>
      <c r="G152" s="4" t="n">
        <f aca="false">'Cleaned Data'!G152</f>
        <v>2</v>
      </c>
    </row>
    <row r="153" customFormat="false" ht="15" hidden="false" customHeight="false" outlineLevel="0" collapsed="false">
      <c r="A153" s="3" t="n">
        <f aca="false">IF('Cleaned Data'!A153="Female",0,1)</f>
        <v>1</v>
      </c>
      <c r="B153" s="3" t="n">
        <f aca="false">IF('Cleaned Data'!B153="No",0,1)</f>
        <v>0</v>
      </c>
      <c r="C153" s="3" t="n">
        <f aca="false">IF('Cleaned Data'!C153="Thur",1,IF('Cleaned Data'!C153="Fri",2,IF('Cleaned Data'!C153="Sat",3,4)))</f>
        <v>4</v>
      </c>
      <c r="D153" s="3" t="n">
        <f aca="false">IF('Cleaned Data'!D153="Lunch",0,1)</f>
        <v>1</v>
      </c>
      <c r="E153" s="3" t="n">
        <f aca="false">'Cleaned Data'!E153</f>
        <v>2</v>
      </c>
      <c r="F153" s="3" t="n">
        <f aca="false">'Cleaned Data'!F153</f>
        <v>14.07</v>
      </c>
      <c r="G153" s="3" t="n">
        <f aca="false">'Cleaned Data'!G153</f>
        <v>2.5</v>
      </c>
    </row>
    <row r="154" customFormat="false" ht="15" hidden="false" customHeight="false" outlineLevel="0" collapsed="false">
      <c r="A154" s="4" t="n">
        <f aca="false">IF('Cleaned Data'!A154="Female",0,1)</f>
        <v>1</v>
      </c>
      <c r="B154" s="4" t="n">
        <f aca="false">IF('Cleaned Data'!B154="No",0,1)</f>
        <v>0</v>
      </c>
      <c r="C154" s="4" t="n">
        <f aca="false">IF('Cleaned Data'!C154="Thur",1,IF('Cleaned Data'!C154="Fri",2,IF('Cleaned Data'!C154="Sat",3,4)))</f>
        <v>4</v>
      </c>
      <c r="D154" s="4" t="n">
        <f aca="false">IF('Cleaned Data'!D154="Lunch",0,1)</f>
        <v>1</v>
      </c>
      <c r="E154" s="4" t="n">
        <f aca="false">'Cleaned Data'!E154</f>
        <v>2</v>
      </c>
      <c r="F154" s="4" t="n">
        <f aca="false">'Cleaned Data'!F154</f>
        <v>13.13</v>
      </c>
      <c r="G154" s="4" t="n">
        <f aca="false">'Cleaned Data'!G154</f>
        <v>2</v>
      </c>
    </row>
    <row r="155" customFormat="false" ht="15" hidden="false" customHeight="false" outlineLevel="0" collapsed="false">
      <c r="A155" s="3" t="n">
        <f aca="false">IF('Cleaned Data'!A155="Female",0,1)</f>
        <v>1</v>
      </c>
      <c r="B155" s="3" t="n">
        <f aca="false">IF('Cleaned Data'!B155="No",0,1)</f>
        <v>0</v>
      </c>
      <c r="C155" s="3" t="n">
        <f aca="false">IF('Cleaned Data'!C155="Thur",1,IF('Cleaned Data'!C155="Fri",2,IF('Cleaned Data'!C155="Sat",3,4)))</f>
        <v>4</v>
      </c>
      <c r="D155" s="3" t="n">
        <f aca="false">IF('Cleaned Data'!D155="Lunch",0,1)</f>
        <v>1</v>
      </c>
      <c r="E155" s="3" t="n">
        <f aca="false">'Cleaned Data'!E155</f>
        <v>3</v>
      </c>
      <c r="F155" s="3" t="n">
        <f aca="false">'Cleaned Data'!F155</f>
        <v>17.26</v>
      </c>
      <c r="G155" s="3" t="n">
        <f aca="false">'Cleaned Data'!G155</f>
        <v>2.74</v>
      </c>
    </row>
    <row r="156" customFormat="false" ht="15" hidden="false" customHeight="false" outlineLevel="0" collapsed="false">
      <c r="A156" s="4" t="n">
        <f aca="false">IF('Cleaned Data'!A156="Female",0,1)</f>
        <v>1</v>
      </c>
      <c r="B156" s="4" t="n">
        <f aca="false">IF('Cleaned Data'!B156="No",0,1)</f>
        <v>0</v>
      </c>
      <c r="C156" s="4" t="n">
        <f aca="false">IF('Cleaned Data'!C156="Thur",1,IF('Cleaned Data'!C156="Fri",2,IF('Cleaned Data'!C156="Sat",3,4)))</f>
        <v>4</v>
      </c>
      <c r="D156" s="4" t="n">
        <f aca="false">IF('Cleaned Data'!D156="Lunch",0,1)</f>
        <v>1</v>
      </c>
      <c r="E156" s="4" t="n">
        <f aca="false">'Cleaned Data'!E156</f>
        <v>4</v>
      </c>
      <c r="F156" s="4" t="n">
        <f aca="false">'Cleaned Data'!F156</f>
        <v>24.55</v>
      </c>
      <c r="G156" s="4" t="n">
        <f aca="false">'Cleaned Data'!G156</f>
        <v>2</v>
      </c>
    </row>
    <row r="157" customFormat="false" ht="15" hidden="false" customHeight="false" outlineLevel="0" collapsed="false">
      <c r="A157" s="3" t="n">
        <f aca="false">IF('Cleaned Data'!A157="Female",0,1)</f>
        <v>1</v>
      </c>
      <c r="B157" s="3" t="n">
        <f aca="false">IF('Cleaned Data'!B157="No",0,1)</f>
        <v>0</v>
      </c>
      <c r="C157" s="3" t="n">
        <f aca="false">IF('Cleaned Data'!C157="Thur",1,IF('Cleaned Data'!C157="Fri",2,IF('Cleaned Data'!C157="Sat",3,4)))</f>
        <v>4</v>
      </c>
      <c r="D157" s="3" t="n">
        <f aca="false">IF('Cleaned Data'!D157="Lunch",0,1)</f>
        <v>1</v>
      </c>
      <c r="E157" s="3" t="n">
        <f aca="false">'Cleaned Data'!E157</f>
        <v>4</v>
      </c>
      <c r="F157" s="3" t="n">
        <f aca="false">'Cleaned Data'!F157</f>
        <v>19.77</v>
      </c>
      <c r="G157" s="3" t="n">
        <f aca="false">'Cleaned Data'!G157</f>
        <v>2</v>
      </c>
    </row>
    <row r="158" customFormat="false" ht="15" hidden="false" customHeight="false" outlineLevel="0" collapsed="false">
      <c r="A158" s="4" t="n">
        <f aca="false">IF('Cleaned Data'!A158="Female",0,1)</f>
        <v>0</v>
      </c>
      <c r="B158" s="4" t="n">
        <f aca="false">IF('Cleaned Data'!B158="No",0,1)</f>
        <v>0</v>
      </c>
      <c r="C158" s="4" t="n">
        <f aca="false">IF('Cleaned Data'!C158="Thur",1,IF('Cleaned Data'!C158="Fri",2,IF('Cleaned Data'!C158="Sat",3,4)))</f>
        <v>4</v>
      </c>
      <c r="D158" s="4" t="n">
        <f aca="false">IF('Cleaned Data'!D158="Lunch",0,1)</f>
        <v>1</v>
      </c>
      <c r="E158" s="4" t="n">
        <f aca="false">'Cleaned Data'!E158</f>
        <v>5</v>
      </c>
      <c r="F158" s="4" t="n">
        <f aca="false">'Cleaned Data'!F158</f>
        <v>29.85</v>
      </c>
      <c r="G158" s="4" t="n">
        <f aca="false">'Cleaned Data'!G158</f>
        <v>5.14</v>
      </c>
    </row>
    <row r="159" customFormat="false" ht="15" hidden="false" customHeight="false" outlineLevel="0" collapsed="false">
      <c r="A159" s="3" t="n">
        <f aca="false">IF('Cleaned Data'!A159="Female",0,1)</f>
        <v>1</v>
      </c>
      <c r="B159" s="3" t="n">
        <f aca="false">IF('Cleaned Data'!B159="No",0,1)</f>
        <v>0</v>
      </c>
      <c r="C159" s="3" t="n">
        <f aca="false">IF('Cleaned Data'!C159="Thur",1,IF('Cleaned Data'!C159="Fri",2,IF('Cleaned Data'!C159="Sat",3,4)))</f>
        <v>4</v>
      </c>
      <c r="D159" s="3" t="n">
        <f aca="false">IF('Cleaned Data'!D159="Lunch",0,1)</f>
        <v>1</v>
      </c>
      <c r="E159" s="3" t="n">
        <f aca="false">'Cleaned Data'!E159</f>
        <v>6</v>
      </c>
      <c r="F159" s="3" t="n">
        <f aca="false">'Cleaned Data'!F159</f>
        <v>48.17</v>
      </c>
      <c r="G159" s="3" t="n">
        <f aca="false">'Cleaned Data'!G159</f>
        <v>5</v>
      </c>
    </row>
    <row r="160" customFormat="false" ht="15" hidden="false" customHeight="false" outlineLevel="0" collapsed="false">
      <c r="A160" s="4" t="n">
        <f aca="false">IF('Cleaned Data'!A160="Female",0,1)</f>
        <v>0</v>
      </c>
      <c r="B160" s="4" t="n">
        <f aca="false">IF('Cleaned Data'!B160="No",0,1)</f>
        <v>0</v>
      </c>
      <c r="C160" s="4" t="n">
        <f aca="false">IF('Cleaned Data'!C160="Thur",1,IF('Cleaned Data'!C160="Fri",2,IF('Cleaned Data'!C160="Sat",3,4)))</f>
        <v>4</v>
      </c>
      <c r="D160" s="4" t="n">
        <f aca="false">IF('Cleaned Data'!D160="Lunch",0,1)</f>
        <v>1</v>
      </c>
      <c r="E160" s="4" t="n">
        <f aca="false">'Cleaned Data'!E160</f>
        <v>4</v>
      </c>
      <c r="F160" s="4" t="n">
        <f aca="false">'Cleaned Data'!F160</f>
        <v>25</v>
      </c>
      <c r="G160" s="4" t="n">
        <f aca="false">'Cleaned Data'!G160</f>
        <v>3.75</v>
      </c>
    </row>
    <row r="161" customFormat="false" ht="15" hidden="false" customHeight="false" outlineLevel="0" collapsed="false">
      <c r="A161" s="3" t="n">
        <f aca="false">IF('Cleaned Data'!A161="Female",0,1)</f>
        <v>0</v>
      </c>
      <c r="B161" s="3" t="n">
        <f aca="false">IF('Cleaned Data'!B161="No",0,1)</f>
        <v>0</v>
      </c>
      <c r="C161" s="3" t="n">
        <f aca="false">IF('Cleaned Data'!C161="Thur",1,IF('Cleaned Data'!C161="Fri",2,IF('Cleaned Data'!C161="Sat",3,4)))</f>
        <v>4</v>
      </c>
      <c r="D161" s="3" t="n">
        <f aca="false">IF('Cleaned Data'!D161="Lunch",0,1)</f>
        <v>1</v>
      </c>
      <c r="E161" s="3" t="n">
        <f aca="false">'Cleaned Data'!E161</f>
        <v>2</v>
      </c>
      <c r="F161" s="3" t="n">
        <f aca="false">'Cleaned Data'!F161</f>
        <v>13.39</v>
      </c>
      <c r="G161" s="3" t="n">
        <f aca="false">'Cleaned Data'!G161</f>
        <v>2.61</v>
      </c>
    </row>
    <row r="162" customFormat="false" ht="15" hidden="false" customHeight="false" outlineLevel="0" collapsed="false">
      <c r="A162" s="4" t="n">
        <f aca="false">IF('Cleaned Data'!A162="Female",0,1)</f>
        <v>1</v>
      </c>
      <c r="B162" s="4" t="n">
        <f aca="false">IF('Cleaned Data'!B162="No",0,1)</f>
        <v>0</v>
      </c>
      <c r="C162" s="4" t="n">
        <f aca="false">IF('Cleaned Data'!C162="Thur",1,IF('Cleaned Data'!C162="Fri",2,IF('Cleaned Data'!C162="Sat",3,4)))</f>
        <v>4</v>
      </c>
      <c r="D162" s="4" t="n">
        <f aca="false">IF('Cleaned Data'!D162="Lunch",0,1)</f>
        <v>1</v>
      </c>
      <c r="E162" s="4" t="n">
        <f aca="false">'Cleaned Data'!E162</f>
        <v>4</v>
      </c>
      <c r="F162" s="4" t="n">
        <f aca="false">'Cleaned Data'!F162</f>
        <v>16.49</v>
      </c>
      <c r="G162" s="4" t="n">
        <f aca="false">'Cleaned Data'!G162</f>
        <v>2</v>
      </c>
    </row>
    <row r="163" customFormat="false" ht="15" hidden="false" customHeight="false" outlineLevel="0" collapsed="false">
      <c r="A163" s="3" t="n">
        <f aca="false">IF('Cleaned Data'!A163="Female",0,1)</f>
        <v>1</v>
      </c>
      <c r="B163" s="3" t="n">
        <f aca="false">IF('Cleaned Data'!B163="No",0,1)</f>
        <v>0</v>
      </c>
      <c r="C163" s="3" t="n">
        <f aca="false">IF('Cleaned Data'!C163="Thur",1,IF('Cleaned Data'!C163="Fri",2,IF('Cleaned Data'!C163="Sat",3,4)))</f>
        <v>4</v>
      </c>
      <c r="D163" s="3" t="n">
        <f aca="false">IF('Cleaned Data'!D163="Lunch",0,1)</f>
        <v>1</v>
      </c>
      <c r="E163" s="3" t="n">
        <f aca="false">'Cleaned Data'!E163</f>
        <v>4</v>
      </c>
      <c r="F163" s="3" t="n">
        <f aca="false">'Cleaned Data'!F163</f>
        <v>21.5</v>
      </c>
      <c r="G163" s="3" t="n">
        <f aca="false">'Cleaned Data'!G163</f>
        <v>3.5</v>
      </c>
    </row>
    <row r="164" customFormat="false" ht="15" hidden="false" customHeight="false" outlineLevel="0" collapsed="false">
      <c r="A164" s="4" t="n">
        <f aca="false">IF('Cleaned Data'!A164="Female",0,1)</f>
        <v>1</v>
      </c>
      <c r="B164" s="4" t="n">
        <f aca="false">IF('Cleaned Data'!B164="No",0,1)</f>
        <v>0</v>
      </c>
      <c r="C164" s="4" t="n">
        <f aca="false">IF('Cleaned Data'!C164="Thur",1,IF('Cleaned Data'!C164="Fri",2,IF('Cleaned Data'!C164="Sat",3,4)))</f>
        <v>4</v>
      </c>
      <c r="D164" s="4" t="n">
        <f aca="false">IF('Cleaned Data'!D164="Lunch",0,1)</f>
        <v>1</v>
      </c>
      <c r="E164" s="4" t="n">
        <f aca="false">'Cleaned Data'!E164</f>
        <v>2</v>
      </c>
      <c r="F164" s="4" t="n">
        <f aca="false">'Cleaned Data'!F164</f>
        <v>12.66</v>
      </c>
      <c r="G164" s="4" t="n">
        <f aca="false">'Cleaned Data'!G164</f>
        <v>2.5</v>
      </c>
    </row>
    <row r="165" customFormat="false" ht="15" hidden="false" customHeight="false" outlineLevel="0" collapsed="false">
      <c r="A165" s="3" t="n">
        <f aca="false">IF('Cleaned Data'!A165="Female",0,1)</f>
        <v>0</v>
      </c>
      <c r="B165" s="3" t="n">
        <f aca="false">IF('Cleaned Data'!B165="No",0,1)</f>
        <v>0</v>
      </c>
      <c r="C165" s="3" t="n">
        <f aca="false">IF('Cleaned Data'!C165="Thur",1,IF('Cleaned Data'!C165="Fri",2,IF('Cleaned Data'!C165="Sat",3,4)))</f>
        <v>4</v>
      </c>
      <c r="D165" s="3" t="n">
        <f aca="false">IF('Cleaned Data'!D165="Lunch",0,1)</f>
        <v>1</v>
      </c>
      <c r="E165" s="3" t="n">
        <f aca="false">'Cleaned Data'!E165</f>
        <v>3</v>
      </c>
      <c r="F165" s="3" t="n">
        <f aca="false">'Cleaned Data'!F165</f>
        <v>16.21</v>
      </c>
      <c r="G165" s="3" t="n">
        <f aca="false">'Cleaned Data'!G165</f>
        <v>2</v>
      </c>
    </row>
    <row r="166" customFormat="false" ht="15" hidden="false" customHeight="false" outlineLevel="0" collapsed="false">
      <c r="A166" s="4" t="n">
        <f aca="false">IF('Cleaned Data'!A166="Female",0,1)</f>
        <v>1</v>
      </c>
      <c r="B166" s="4" t="n">
        <f aca="false">IF('Cleaned Data'!B166="No",0,1)</f>
        <v>0</v>
      </c>
      <c r="C166" s="4" t="n">
        <f aca="false">IF('Cleaned Data'!C166="Thur",1,IF('Cleaned Data'!C166="Fri",2,IF('Cleaned Data'!C166="Sat",3,4)))</f>
        <v>4</v>
      </c>
      <c r="D166" s="4" t="n">
        <f aca="false">IF('Cleaned Data'!D166="Lunch",0,1)</f>
        <v>1</v>
      </c>
      <c r="E166" s="4" t="n">
        <f aca="false">'Cleaned Data'!E166</f>
        <v>2</v>
      </c>
      <c r="F166" s="4" t="n">
        <f aca="false">'Cleaned Data'!F166</f>
        <v>13.81</v>
      </c>
      <c r="G166" s="4" t="n">
        <f aca="false">'Cleaned Data'!G166</f>
        <v>2</v>
      </c>
    </row>
    <row r="167" customFormat="false" ht="15" hidden="false" customHeight="false" outlineLevel="0" collapsed="false">
      <c r="A167" s="3" t="n">
        <f aca="false">IF('Cleaned Data'!A167="Female",0,1)</f>
        <v>0</v>
      </c>
      <c r="B167" s="3" t="n">
        <f aca="false">IF('Cleaned Data'!B167="No",0,1)</f>
        <v>1</v>
      </c>
      <c r="C167" s="3" t="n">
        <f aca="false">IF('Cleaned Data'!C167="Thur",1,IF('Cleaned Data'!C167="Fri",2,IF('Cleaned Data'!C167="Sat",3,4)))</f>
        <v>4</v>
      </c>
      <c r="D167" s="3" t="n">
        <f aca="false">IF('Cleaned Data'!D167="Lunch",0,1)</f>
        <v>1</v>
      </c>
      <c r="E167" s="3" t="n">
        <f aca="false">'Cleaned Data'!E167</f>
        <v>2</v>
      </c>
      <c r="F167" s="3" t="n">
        <f aca="false">'Cleaned Data'!F167</f>
        <v>17.51</v>
      </c>
      <c r="G167" s="3" t="n">
        <f aca="false">'Cleaned Data'!G167</f>
        <v>3</v>
      </c>
    </row>
    <row r="168" customFormat="false" ht="15" hidden="false" customHeight="false" outlineLevel="0" collapsed="false">
      <c r="A168" s="4" t="n">
        <f aca="false">IF('Cleaned Data'!A168="Female",0,1)</f>
        <v>1</v>
      </c>
      <c r="B168" s="4" t="n">
        <f aca="false">IF('Cleaned Data'!B168="No",0,1)</f>
        <v>0</v>
      </c>
      <c r="C168" s="4" t="n">
        <f aca="false">IF('Cleaned Data'!C168="Thur",1,IF('Cleaned Data'!C168="Fri",2,IF('Cleaned Data'!C168="Sat",3,4)))</f>
        <v>4</v>
      </c>
      <c r="D168" s="4" t="n">
        <f aca="false">IF('Cleaned Data'!D168="Lunch",0,1)</f>
        <v>1</v>
      </c>
      <c r="E168" s="4" t="n">
        <f aca="false">'Cleaned Data'!E168</f>
        <v>3</v>
      </c>
      <c r="F168" s="4" t="n">
        <f aca="false">'Cleaned Data'!F168</f>
        <v>24.52</v>
      </c>
      <c r="G168" s="4" t="n">
        <f aca="false">'Cleaned Data'!G168</f>
        <v>3.48</v>
      </c>
    </row>
    <row r="169" customFormat="false" ht="15" hidden="false" customHeight="false" outlineLevel="0" collapsed="false">
      <c r="A169" s="3" t="n">
        <f aca="false">IF('Cleaned Data'!A169="Female",0,1)</f>
        <v>1</v>
      </c>
      <c r="B169" s="3" t="n">
        <f aca="false">IF('Cleaned Data'!B169="No",0,1)</f>
        <v>0</v>
      </c>
      <c r="C169" s="3" t="n">
        <f aca="false">IF('Cleaned Data'!C169="Thur",1,IF('Cleaned Data'!C169="Fri",2,IF('Cleaned Data'!C169="Sat",3,4)))</f>
        <v>4</v>
      </c>
      <c r="D169" s="3" t="n">
        <f aca="false">IF('Cleaned Data'!D169="Lunch",0,1)</f>
        <v>1</v>
      </c>
      <c r="E169" s="3" t="n">
        <f aca="false">'Cleaned Data'!E169</f>
        <v>2</v>
      </c>
      <c r="F169" s="3" t="n">
        <f aca="false">'Cleaned Data'!F169</f>
        <v>20.76</v>
      </c>
      <c r="G169" s="3" t="n">
        <f aca="false">'Cleaned Data'!G169</f>
        <v>2.24</v>
      </c>
    </row>
    <row r="170" customFormat="false" ht="15" hidden="false" customHeight="false" outlineLevel="0" collapsed="false">
      <c r="A170" s="4" t="n">
        <f aca="false">IF('Cleaned Data'!A170="Female",0,1)</f>
        <v>1</v>
      </c>
      <c r="B170" s="4" t="n">
        <f aca="false">IF('Cleaned Data'!B170="No",0,1)</f>
        <v>0</v>
      </c>
      <c r="C170" s="4" t="n">
        <f aca="false">IF('Cleaned Data'!C170="Thur",1,IF('Cleaned Data'!C170="Fri",2,IF('Cleaned Data'!C170="Sat",3,4)))</f>
        <v>4</v>
      </c>
      <c r="D170" s="4" t="n">
        <f aca="false">IF('Cleaned Data'!D170="Lunch",0,1)</f>
        <v>1</v>
      </c>
      <c r="E170" s="4" t="n">
        <f aca="false">'Cleaned Data'!E170</f>
        <v>4</v>
      </c>
      <c r="F170" s="4" t="n">
        <f aca="false">'Cleaned Data'!F170</f>
        <v>31.71</v>
      </c>
      <c r="G170" s="4" t="n">
        <f aca="false">'Cleaned Data'!G170</f>
        <v>4.5</v>
      </c>
    </row>
    <row r="171" customFormat="false" ht="15" hidden="false" customHeight="false" outlineLevel="0" collapsed="false">
      <c r="A171" s="3" t="n">
        <f aca="false">IF('Cleaned Data'!A171="Female",0,1)</f>
        <v>0</v>
      </c>
      <c r="B171" s="3" t="n">
        <f aca="false">IF('Cleaned Data'!B171="No",0,1)</f>
        <v>1</v>
      </c>
      <c r="C171" s="3" t="n">
        <f aca="false">IF('Cleaned Data'!C171="Thur",1,IF('Cleaned Data'!C171="Fri",2,IF('Cleaned Data'!C171="Sat",3,4)))</f>
        <v>3</v>
      </c>
      <c r="D171" s="3" t="n">
        <f aca="false">IF('Cleaned Data'!D171="Lunch",0,1)</f>
        <v>1</v>
      </c>
      <c r="E171" s="3" t="n">
        <f aca="false">'Cleaned Data'!E171</f>
        <v>2</v>
      </c>
      <c r="F171" s="3" t="n">
        <f aca="false">'Cleaned Data'!F171</f>
        <v>10.59</v>
      </c>
      <c r="G171" s="3" t="n">
        <f aca="false">'Cleaned Data'!G171</f>
        <v>1.61</v>
      </c>
    </row>
    <row r="172" customFormat="false" ht="15" hidden="false" customHeight="false" outlineLevel="0" collapsed="false">
      <c r="A172" s="4" t="n">
        <f aca="false">IF('Cleaned Data'!A172="Female",0,1)</f>
        <v>0</v>
      </c>
      <c r="B172" s="4" t="n">
        <f aca="false">IF('Cleaned Data'!B172="No",0,1)</f>
        <v>1</v>
      </c>
      <c r="C172" s="4" t="n">
        <f aca="false">IF('Cleaned Data'!C172="Thur",1,IF('Cleaned Data'!C172="Fri",2,IF('Cleaned Data'!C172="Sat",3,4)))</f>
        <v>3</v>
      </c>
      <c r="D172" s="4" t="n">
        <f aca="false">IF('Cleaned Data'!D172="Lunch",0,1)</f>
        <v>1</v>
      </c>
      <c r="E172" s="4" t="n">
        <f aca="false">'Cleaned Data'!E172</f>
        <v>2</v>
      </c>
      <c r="F172" s="4" t="n">
        <f aca="false">'Cleaned Data'!F172</f>
        <v>10.63</v>
      </c>
      <c r="G172" s="4" t="n">
        <f aca="false">'Cleaned Data'!G172</f>
        <v>2</v>
      </c>
    </row>
    <row r="173" customFormat="false" ht="15" hidden="false" customHeight="false" outlineLevel="0" collapsed="false">
      <c r="A173" s="3" t="n">
        <f aca="false">IF('Cleaned Data'!A173="Female",0,1)</f>
        <v>1</v>
      </c>
      <c r="B173" s="3" t="n">
        <f aca="false">IF('Cleaned Data'!B173="No",0,1)</f>
        <v>1</v>
      </c>
      <c r="C173" s="3" t="n">
        <f aca="false">IF('Cleaned Data'!C173="Thur",1,IF('Cleaned Data'!C173="Fri",2,IF('Cleaned Data'!C173="Sat",3,4)))</f>
        <v>3</v>
      </c>
      <c r="D173" s="3" t="n">
        <f aca="false">IF('Cleaned Data'!D173="Lunch",0,1)</f>
        <v>1</v>
      </c>
      <c r="E173" s="3" t="n">
        <f aca="false">'Cleaned Data'!E173</f>
        <v>3</v>
      </c>
      <c r="F173" s="3" t="n">
        <f aca="false">'Cleaned Data'!F173</f>
        <v>50.81</v>
      </c>
      <c r="G173" s="3" t="n">
        <f aca="false">'Cleaned Data'!G173</f>
        <v>10</v>
      </c>
    </row>
    <row r="174" customFormat="false" ht="15" hidden="false" customHeight="false" outlineLevel="0" collapsed="false">
      <c r="A174" s="4" t="n">
        <f aca="false">IF('Cleaned Data'!A174="Female",0,1)</f>
        <v>1</v>
      </c>
      <c r="B174" s="4" t="n">
        <f aca="false">IF('Cleaned Data'!B174="No",0,1)</f>
        <v>1</v>
      </c>
      <c r="C174" s="4" t="n">
        <f aca="false">IF('Cleaned Data'!C174="Thur",1,IF('Cleaned Data'!C174="Fri",2,IF('Cleaned Data'!C174="Sat",3,4)))</f>
        <v>3</v>
      </c>
      <c r="D174" s="4" t="n">
        <f aca="false">IF('Cleaned Data'!D174="Lunch",0,1)</f>
        <v>1</v>
      </c>
      <c r="E174" s="4" t="n">
        <f aca="false">'Cleaned Data'!E174</f>
        <v>2</v>
      </c>
      <c r="F174" s="4" t="n">
        <f aca="false">'Cleaned Data'!F174</f>
        <v>15.81</v>
      </c>
      <c r="G174" s="4" t="n">
        <f aca="false">'Cleaned Data'!G174</f>
        <v>3.16</v>
      </c>
    </row>
    <row r="175" customFormat="false" ht="15" hidden="false" customHeight="false" outlineLevel="0" collapsed="false">
      <c r="A175" s="3" t="n">
        <f aca="false">IF('Cleaned Data'!A175="Female",0,1)</f>
        <v>1</v>
      </c>
      <c r="B175" s="3" t="n">
        <f aca="false">IF('Cleaned Data'!B175="No",0,1)</f>
        <v>1</v>
      </c>
      <c r="C175" s="3" t="n">
        <f aca="false">IF('Cleaned Data'!C175="Thur",1,IF('Cleaned Data'!C175="Fri",2,IF('Cleaned Data'!C175="Sat",3,4)))</f>
        <v>4</v>
      </c>
      <c r="D175" s="3" t="n">
        <f aca="false">IF('Cleaned Data'!D175="Lunch",0,1)</f>
        <v>1</v>
      </c>
      <c r="E175" s="3" t="n">
        <f aca="false">'Cleaned Data'!E175</f>
        <v>2</v>
      </c>
      <c r="F175" s="3" t="n">
        <f aca="false">'Cleaned Data'!F175</f>
        <v>7.25</v>
      </c>
      <c r="G175" s="3" t="n">
        <f aca="false">'Cleaned Data'!G175</f>
        <v>5.15</v>
      </c>
    </row>
    <row r="176" customFormat="false" ht="15" hidden="false" customHeight="false" outlineLevel="0" collapsed="false">
      <c r="A176" s="4" t="n">
        <f aca="false">IF('Cleaned Data'!A176="Female",0,1)</f>
        <v>1</v>
      </c>
      <c r="B176" s="4" t="n">
        <f aca="false">IF('Cleaned Data'!B176="No",0,1)</f>
        <v>1</v>
      </c>
      <c r="C176" s="4" t="n">
        <f aca="false">IF('Cleaned Data'!C176="Thur",1,IF('Cleaned Data'!C176="Fri",2,IF('Cleaned Data'!C176="Sat",3,4)))</f>
        <v>4</v>
      </c>
      <c r="D176" s="4" t="n">
        <f aca="false">IF('Cleaned Data'!D176="Lunch",0,1)</f>
        <v>1</v>
      </c>
      <c r="E176" s="4" t="n">
        <f aca="false">'Cleaned Data'!E176</f>
        <v>2</v>
      </c>
      <c r="F176" s="4" t="n">
        <f aca="false">'Cleaned Data'!F176</f>
        <v>31.85</v>
      </c>
      <c r="G176" s="4" t="n">
        <f aca="false">'Cleaned Data'!G176</f>
        <v>3.18</v>
      </c>
    </row>
    <row r="177" customFormat="false" ht="15" hidden="false" customHeight="false" outlineLevel="0" collapsed="false">
      <c r="A177" s="3" t="n">
        <f aca="false">IF('Cleaned Data'!A177="Female",0,1)</f>
        <v>1</v>
      </c>
      <c r="B177" s="3" t="n">
        <f aca="false">IF('Cleaned Data'!B177="No",0,1)</f>
        <v>1</v>
      </c>
      <c r="C177" s="3" t="n">
        <f aca="false">IF('Cleaned Data'!C177="Thur",1,IF('Cleaned Data'!C177="Fri",2,IF('Cleaned Data'!C177="Sat",3,4)))</f>
        <v>4</v>
      </c>
      <c r="D177" s="3" t="n">
        <f aca="false">IF('Cleaned Data'!D177="Lunch",0,1)</f>
        <v>1</v>
      </c>
      <c r="E177" s="3" t="n">
        <f aca="false">'Cleaned Data'!E177</f>
        <v>2</v>
      </c>
      <c r="F177" s="3" t="n">
        <f aca="false">'Cleaned Data'!F177</f>
        <v>16.82</v>
      </c>
      <c r="G177" s="3" t="n">
        <f aca="false">'Cleaned Data'!G177</f>
        <v>4</v>
      </c>
    </row>
    <row r="178" customFormat="false" ht="15" hidden="false" customHeight="false" outlineLevel="0" collapsed="false">
      <c r="A178" s="4" t="n">
        <f aca="false">IF('Cleaned Data'!A178="Female",0,1)</f>
        <v>1</v>
      </c>
      <c r="B178" s="4" t="n">
        <f aca="false">IF('Cleaned Data'!B178="No",0,1)</f>
        <v>1</v>
      </c>
      <c r="C178" s="4" t="n">
        <f aca="false">IF('Cleaned Data'!C178="Thur",1,IF('Cleaned Data'!C178="Fri",2,IF('Cleaned Data'!C178="Sat",3,4)))</f>
        <v>4</v>
      </c>
      <c r="D178" s="4" t="n">
        <f aca="false">IF('Cleaned Data'!D178="Lunch",0,1)</f>
        <v>1</v>
      </c>
      <c r="E178" s="4" t="n">
        <f aca="false">'Cleaned Data'!E178</f>
        <v>2</v>
      </c>
      <c r="F178" s="4" t="n">
        <f aca="false">'Cleaned Data'!F178</f>
        <v>32.9</v>
      </c>
      <c r="G178" s="4" t="n">
        <f aca="false">'Cleaned Data'!G178</f>
        <v>3.11</v>
      </c>
    </row>
    <row r="179" customFormat="false" ht="15" hidden="false" customHeight="false" outlineLevel="0" collapsed="false">
      <c r="A179" s="3" t="n">
        <f aca="false">IF('Cleaned Data'!A179="Female",0,1)</f>
        <v>1</v>
      </c>
      <c r="B179" s="3" t="n">
        <f aca="false">IF('Cleaned Data'!B179="No",0,1)</f>
        <v>1</v>
      </c>
      <c r="C179" s="3" t="n">
        <f aca="false">IF('Cleaned Data'!C179="Thur",1,IF('Cleaned Data'!C179="Fri",2,IF('Cleaned Data'!C179="Sat",3,4)))</f>
        <v>4</v>
      </c>
      <c r="D179" s="3" t="n">
        <f aca="false">IF('Cleaned Data'!D179="Lunch",0,1)</f>
        <v>1</v>
      </c>
      <c r="E179" s="3" t="n">
        <f aca="false">'Cleaned Data'!E179</f>
        <v>2</v>
      </c>
      <c r="F179" s="3" t="n">
        <f aca="false">'Cleaned Data'!F179</f>
        <v>17.89</v>
      </c>
      <c r="G179" s="3" t="n">
        <f aca="false">'Cleaned Data'!G179</f>
        <v>2</v>
      </c>
    </row>
    <row r="180" customFormat="false" ht="15" hidden="false" customHeight="false" outlineLevel="0" collapsed="false">
      <c r="A180" s="4" t="n">
        <f aca="false">IF('Cleaned Data'!A180="Female",0,1)</f>
        <v>1</v>
      </c>
      <c r="B180" s="4" t="n">
        <f aca="false">IF('Cleaned Data'!B180="No",0,1)</f>
        <v>1</v>
      </c>
      <c r="C180" s="4" t="n">
        <f aca="false">IF('Cleaned Data'!C180="Thur",1,IF('Cleaned Data'!C180="Fri",2,IF('Cleaned Data'!C180="Sat",3,4)))</f>
        <v>4</v>
      </c>
      <c r="D180" s="4" t="n">
        <f aca="false">IF('Cleaned Data'!D180="Lunch",0,1)</f>
        <v>1</v>
      </c>
      <c r="E180" s="4" t="n">
        <f aca="false">'Cleaned Data'!E180</f>
        <v>2</v>
      </c>
      <c r="F180" s="4" t="n">
        <f aca="false">'Cleaned Data'!F180</f>
        <v>14.48</v>
      </c>
      <c r="G180" s="4" t="n">
        <f aca="false">'Cleaned Data'!G180</f>
        <v>2</v>
      </c>
    </row>
    <row r="181" customFormat="false" ht="15" hidden="false" customHeight="false" outlineLevel="0" collapsed="false">
      <c r="A181" s="3" t="n">
        <f aca="false">IF('Cleaned Data'!A181="Female",0,1)</f>
        <v>0</v>
      </c>
      <c r="B181" s="3" t="n">
        <f aca="false">IF('Cleaned Data'!B181="No",0,1)</f>
        <v>1</v>
      </c>
      <c r="C181" s="3" t="n">
        <f aca="false">IF('Cleaned Data'!C181="Thur",1,IF('Cleaned Data'!C181="Fri",2,IF('Cleaned Data'!C181="Sat",3,4)))</f>
        <v>4</v>
      </c>
      <c r="D181" s="3" t="n">
        <f aca="false">IF('Cleaned Data'!D181="Lunch",0,1)</f>
        <v>1</v>
      </c>
      <c r="E181" s="3" t="n">
        <f aca="false">'Cleaned Data'!E181</f>
        <v>2</v>
      </c>
      <c r="F181" s="3" t="n">
        <f aca="false">'Cleaned Data'!F181</f>
        <v>9.6</v>
      </c>
      <c r="G181" s="3" t="n">
        <f aca="false">'Cleaned Data'!G181</f>
        <v>4</v>
      </c>
    </row>
    <row r="182" customFormat="false" ht="15" hidden="false" customHeight="false" outlineLevel="0" collapsed="false">
      <c r="A182" s="4" t="n">
        <f aca="false">IF('Cleaned Data'!A182="Female",0,1)</f>
        <v>1</v>
      </c>
      <c r="B182" s="4" t="n">
        <f aca="false">IF('Cleaned Data'!B182="No",0,1)</f>
        <v>1</v>
      </c>
      <c r="C182" s="4" t="n">
        <f aca="false">IF('Cleaned Data'!C182="Thur",1,IF('Cleaned Data'!C182="Fri",2,IF('Cleaned Data'!C182="Sat",3,4)))</f>
        <v>4</v>
      </c>
      <c r="D182" s="4" t="n">
        <f aca="false">IF('Cleaned Data'!D182="Lunch",0,1)</f>
        <v>1</v>
      </c>
      <c r="E182" s="4" t="n">
        <f aca="false">'Cleaned Data'!E182</f>
        <v>2</v>
      </c>
      <c r="F182" s="4" t="n">
        <f aca="false">'Cleaned Data'!F182</f>
        <v>34.63</v>
      </c>
      <c r="G182" s="4" t="n">
        <f aca="false">'Cleaned Data'!G182</f>
        <v>3.55</v>
      </c>
    </row>
    <row r="183" customFormat="false" ht="15" hidden="false" customHeight="false" outlineLevel="0" collapsed="false">
      <c r="A183" s="3" t="n">
        <f aca="false">IF('Cleaned Data'!A183="Female",0,1)</f>
        <v>1</v>
      </c>
      <c r="B183" s="3" t="n">
        <f aca="false">IF('Cleaned Data'!B183="No",0,1)</f>
        <v>1</v>
      </c>
      <c r="C183" s="3" t="n">
        <f aca="false">IF('Cleaned Data'!C183="Thur",1,IF('Cleaned Data'!C183="Fri",2,IF('Cleaned Data'!C183="Sat",3,4)))</f>
        <v>4</v>
      </c>
      <c r="D183" s="3" t="n">
        <f aca="false">IF('Cleaned Data'!D183="Lunch",0,1)</f>
        <v>1</v>
      </c>
      <c r="E183" s="3" t="n">
        <f aca="false">'Cleaned Data'!E183</f>
        <v>4</v>
      </c>
      <c r="F183" s="3" t="n">
        <f aca="false">'Cleaned Data'!F183</f>
        <v>34.65</v>
      </c>
      <c r="G183" s="3" t="n">
        <f aca="false">'Cleaned Data'!G183</f>
        <v>3.68</v>
      </c>
    </row>
    <row r="184" customFormat="false" ht="15" hidden="false" customHeight="false" outlineLevel="0" collapsed="false">
      <c r="A184" s="4" t="n">
        <f aca="false">IF('Cleaned Data'!A184="Female",0,1)</f>
        <v>1</v>
      </c>
      <c r="B184" s="4" t="n">
        <f aca="false">IF('Cleaned Data'!B184="No",0,1)</f>
        <v>1</v>
      </c>
      <c r="C184" s="4" t="n">
        <f aca="false">IF('Cleaned Data'!C184="Thur",1,IF('Cleaned Data'!C184="Fri",2,IF('Cleaned Data'!C184="Sat",3,4)))</f>
        <v>4</v>
      </c>
      <c r="D184" s="4" t="n">
        <f aca="false">IF('Cleaned Data'!D184="Lunch",0,1)</f>
        <v>1</v>
      </c>
      <c r="E184" s="4" t="n">
        <f aca="false">'Cleaned Data'!E184</f>
        <v>2</v>
      </c>
      <c r="F184" s="4" t="n">
        <f aca="false">'Cleaned Data'!F184</f>
        <v>23.33</v>
      </c>
      <c r="G184" s="4" t="n">
        <f aca="false">'Cleaned Data'!G184</f>
        <v>5.65</v>
      </c>
    </row>
    <row r="185" customFormat="false" ht="15" hidden="false" customHeight="false" outlineLevel="0" collapsed="false">
      <c r="A185" s="3" t="n">
        <f aca="false">IF('Cleaned Data'!A185="Female",0,1)</f>
        <v>1</v>
      </c>
      <c r="B185" s="3" t="n">
        <f aca="false">IF('Cleaned Data'!B185="No",0,1)</f>
        <v>1</v>
      </c>
      <c r="C185" s="3" t="n">
        <f aca="false">IF('Cleaned Data'!C185="Thur",1,IF('Cleaned Data'!C185="Fri",2,IF('Cleaned Data'!C185="Sat",3,4)))</f>
        <v>4</v>
      </c>
      <c r="D185" s="3" t="n">
        <f aca="false">IF('Cleaned Data'!D185="Lunch",0,1)</f>
        <v>1</v>
      </c>
      <c r="E185" s="3" t="n">
        <f aca="false">'Cleaned Data'!E185</f>
        <v>3</v>
      </c>
      <c r="F185" s="3" t="n">
        <f aca="false">'Cleaned Data'!F185</f>
        <v>45.35</v>
      </c>
      <c r="G185" s="3" t="n">
        <f aca="false">'Cleaned Data'!G185</f>
        <v>3.5</v>
      </c>
    </row>
    <row r="186" customFormat="false" ht="15" hidden="false" customHeight="false" outlineLevel="0" collapsed="false">
      <c r="A186" s="4" t="n">
        <f aca="false">IF('Cleaned Data'!A186="Female",0,1)</f>
        <v>1</v>
      </c>
      <c r="B186" s="4" t="n">
        <f aca="false">IF('Cleaned Data'!B186="No",0,1)</f>
        <v>1</v>
      </c>
      <c r="C186" s="4" t="n">
        <f aca="false">IF('Cleaned Data'!C186="Thur",1,IF('Cleaned Data'!C186="Fri",2,IF('Cleaned Data'!C186="Sat",3,4)))</f>
        <v>4</v>
      </c>
      <c r="D186" s="4" t="n">
        <f aca="false">IF('Cleaned Data'!D186="Lunch",0,1)</f>
        <v>1</v>
      </c>
      <c r="E186" s="4" t="n">
        <f aca="false">'Cleaned Data'!E186</f>
        <v>4</v>
      </c>
      <c r="F186" s="4" t="n">
        <f aca="false">'Cleaned Data'!F186</f>
        <v>23.17</v>
      </c>
      <c r="G186" s="4" t="n">
        <f aca="false">'Cleaned Data'!G186</f>
        <v>6.5</v>
      </c>
    </row>
    <row r="187" customFormat="false" ht="15" hidden="false" customHeight="false" outlineLevel="0" collapsed="false">
      <c r="A187" s="3" t="n">
        <f aca="false">IF('Cleaned Data'!A187="Female",0,1)</f>
        <v>1</v>
      </c>
      <c r="B187" s="3" t="n">
        <f aca="false">IF('Cleaned Data'!B187="No",0,1)</f>
        <v>1</v>
      </c>
      <c r="C187" s="3" t="n">
        <f aca="false">IF('Cleaned Data'!C187="Thur",1,IF('Cleaned Data'!C187="Fri",2,IF('Cleaned Data'!C187="Sat",3,4)))</f>
        <v>4</v>
      </c>
      <c r="D187" s="3" t="n">
        <f aca="false">IF('Cleaned Data'!D187="Lunch",0,1)</f>
        <v>1</v>
      </c>
      <c r="E187" s="3" t="n">
        <f aca="false">'Cleaned Data'!E187</f>
        <v>2</v>
      </c>
      <c r="F187" s="3" t="n">
        <f aca="false">'Cleaned Data'!F187</f>
        <v>40.55</v>
      </c>
      <c r="G187" s="3" t="n">
        <f aca="false">'Cleaned Data'!G187</f>
        <v>3</v>
      </c>
    </row>
    <row r="188" customFormat="false" ht="15" hidden="false" customHeight="false" outlineLevel="0" collapsed="false">
      <c r="A188" s="4" t="n">
        <f aca="false">IF('Cleaned Data'!A188="Female",0,1)</f>
        <v>1</v>
      </c>
      <c r="B188" s="4" t="n">
        <f aca="false">IF('Cleaned Data'!B188="No",0,1)</f>
        <v>0</v>
      </c>
      <c r="C188" s="4" t="n">
        <f aca="false">IF('Cleaned Data'!C188="Thur",1,IF('Cleaned Data'!C188="Fri",2,IF('Cleaned Data'!C188="Sat",3,4)))</f>
        <v>4</v>
      </c>
      <c r="D188" s="4" t="n">
        <f aca="false">IF('Cleaned Data'!D188="Lunch",0,1)</f>
        <v>1</v>
      </c>
      <c r="E188" s="4" t="n">
        <f aca="false">'Cleaned Data'!E188</f>
        <v>5</v>
      </c>
      <c r="F188" s="4" t="n">
        <f aca="false">'Cleaned Data'!F188</f>
        <v>20.69</v>
      </c>
      <c r="G188" s="4" t="n">
        <f aca="false">'Cleaned Data'!G188</f>
        <v>5</v>
      </c>
    </row>
    <row r="189" customFormat="false" ht="15" hidden="false" customHeight="false" outlineLevel="0" collapsed="false">
      <c r="A189" s="3" t="n">
        <f aca="false">IF('Cleaned Data'!A189="Female",0,1)</f>
        <v>0</v>
      </c>
      <c r="B189" s="3" t="n">
        <f aca="false">IF('Cleaned Data'!B189="No",0,1)</f>
        <v>1</v>
      </c>
      <c r="C189" s="3" t="n">
        <f aca="false">IF('Cleaned Data'!C189="Thur",1,IF('Cleaned Data'!C189="Fri",2,IF('Cleaned Data'!C189="Sat",3,4)))</f>
        <v>4</v>
      </c>
      <c r="D189" s="3" t="n">
        <f aca="false">IF('Cleaned Data'!D189="Lunch",0,1)</f>
        <v>1</v>
      </c>
      <c r="E189" s="3" t="n">
        <f aca="false">'Cleaned Data'!E189</f>
        <v>3</v>
      </c>
      <c r="F189" s="3" t="n">
        <f aca="false">'Cleaned Data'!F189</f>
        <v>20.9</v>
      </c>
      <c r="G189" s="3" t="n">
        <f aca="false">'Cleaned Data'!G189</f>
        <v>3.5</v>
      </c>
    </row>
    <row r="190" customFormat="false" ht="15" hidden="false" customHeight="false" outlineLevel="0" collapsed="false">
      <c r="A190" s="4" t="n">
        <f aca="false">IF('Cleaned Data'!A190="Female",0,1)</f>
        <v>1</v>
      </c>
      <c r="B190" s="4" t="n">
        <f aca="false">IF('Cleaned Data'!B190="No",0,1)</f>
        <v>1</v>
      </c>
      <c r="C190" s="4" t="n">
        <f aca="false">IF('Cleaned Data'!C190="Thur",1,IF('Cleaned Data'!C190="Fri",2,IF('Cleaned Data'!C190="Sat",3,4)))</f>
        <v>4</v>
      </c>
      <c r="D190" s="4" t="n">
        <f aca="false">IF('Cleaned Data'!D190="Lunch",0,1)</f>
        <v>1</v>
      </c>
      <c r="E190" s="4" t="n">
        <f aca="false">'Cleaned Data'!E190</f>
        <v>5</v>
      </c>
      <c r="F190" s="4" t="n">
        <f aca="false">'Cleaned Data'!F190</f>
        <v>30.46</v>
      </c>
      <c r="G190" s="4" t="n">
        <f aca="false">'Cleaned Data'!G190</f>
        <v>2</v>
      </c>
    </row>
    <row r="191" customFormat="false" ht="15" hidden="false" customHeight="false" outlineLevel="0" collapsed="false">
      <c r="A191" s="3" t="n">
        <f aca="false">IF('Cleaned Data'!A191="Female",0,1)</f>
        <v>0</v>
      </c>
      <c r="B191" s="3" t="n">
        <f aca="false">IF('Cleaned Data'!B191="No",0,1)</f>
        <v>1</v>
      </c>
      <c r="C191" s="3" t="n">
        <f aca="false">IF('Cleaned Data'!C191="Thur",1,IF('Cleaned Data'!C191="Fri",2,IF('Cleaned Data'!C191="Sat",3,4)))</f>
        <v>4</v>
      </c>
      <c r="D191" s="3" t="n">
        <f aca="false">IF('Cleaned Data'!D191="Lunch",0,1)</f>
        <v>1</v>
      </c>
      <c r="E191" s="3" t="n">
        <f aca="false">'Cleaned Data'!E191</f>
        <v>3</v>
      </c>
      <c r="F191" s="3" t="n">
        <f aca="false">'Cleaned Data'!F191</f>
        <v>18.15</v>
      </c>
      <c r="G191" s="3" t="n">
        <f aca="false">'Cleaned Data'!G191</f>
        <v>3.5</v>
      </c>
    </row>
    <row r="192" customFormat="false" ht="15" hidden="false" customHeight="false" outlineLevel="0" collapsed="false">
      <c r="A192" s="4" t="n">
        <f aca="false">IF('Cleaned Data'!A192="Female",0,1)</f>
        <v>1</v>
      </c>
      <c r="B192" s="4" t="n">
        <f aca="false">IF('Cleaned Data'!B192="No",0,1)</f>
        <v>1</v>
      </c>
      <c r="C192" s="4" t="n">
        <f aca="false">IF('Cleaned Data'!C192="Thur",1,IF('Cleaned Data'!C192="Fri",2,IF('Cleaned Data'!C192="Sat",3,4)))</f>
        <v>4</v>
      </c>
      <c r="D192" s="4" t="n">
        <f aca="false">IF('Cleaned Data'!D192="Lunch",0,1)</f>
        <v>1</v>
      </c>
      <c r="E192" s="4" t="n">
        <f aca="false">'Cleaned Data'!E192</f>
        <v>3</v>
      </c>
      <c r="F192" s="4" t="n">
        <f aca="false">'Cleaned Data'!F192</f>
        <v>23.1</v>
      </c>
      <c r="G192" s="4" t="n">
        <f aca="false">'Cleaned Data'!G192</f>
        <v>4</v>
      </c>
    </row>
    <row r="193" customFormat="false" ht="15" hidden="false" customHeight="false" outlineLevel="0" collapsed="false">
      <c r="A193" s="3" t="n">
        <f aca="false">IF('Cleaned Data'!A193="Female",0,1)</f>
        <v>1</v>
      </c>
      <c r="B193" s="3" t="n">
        <f aca="false">IF('Cleaned Data'!B193="No",0,1)</f>
        <v>1</v>
      </c>
      <c r="C193" s="3" t="n">
        <f aca="false">IF('Cleaned Data'!C193="Thur",1,IF('Cleaned Data'!C193="Fri",2,IF('Cleaned Data'!C193="Sat",3,4)))</f>
        <v>4</v>
      </c>
      <c r="D193" s="3" t="n">
        <f aca="false">IF('Cleaned Data'!D193="Lunch",0,1)</f>
        <v>1</v>
      </c>
      <c r="E193" s="3" t="n">
        <f aca="false">'Cleaned Data'!E193</f>
        <v>2</v>
      </c>
      <c r="F193" s="3" t="n">
        <f aca="false">'Cleaned Data'!F193</f>
        <v>15.69</v>
      </c>
      <c r="G193" s="3" t="n">
        <f aca="false">'Cleaned Data'!G193</f>
        <v>1.5</v>
      </c>
    </row>
    <row r="194" customFormat="false" ht="15" hidden="false" customHeight="false" outlineLevel="0" collapsed="false">
      <c r="A194" s="4" t="n">
        <f aca="false">IF('Cleaned Data'!A194="Female",0,1)</f>
        <v>0</v>
      </c>
      <c r="B194" s="4" t="n">
        <f aca="false">IF('Cleaned Data'!B194="No",0,1)</f>
        <v>1</v>
      </c>
      <c r="C194" s="4" t="n">
        <f aca="false">IF('Cleaned Data'!C194="Thur",1,IF('Cleaned Data'!C194="Fri",2,IF('Cleaned Data'!C194="Sat",3,4)))</f>
        <v>1</v>
      </c>
      <c r="D194" s="4" t="n">
        <f aca="false">IF('Cleaned Data'!D194="Lunch",0,1)</f>
        <v>0</v>
      </c>
      <c r="E194" s="4" t="n">
        <f aca="false">'Cleaned Data'!E194</f>
        <v>2</v>
      </c>
      <c r="F194" s="4" t="n">
        <f aca="false">'Cleaned Data'!F194</f>
        <v>19.81</v>
      </c>
      <c r="G194" s="4" t="n">
        <f aca="false">'Cleaned Data'!G194</f>
        <v>4.19</v>
      </c>
    </row>
    <row r="195" customFormat="false" ht="15" hidden="false" customHeight="false" outlineLevel="0" collapsed="false">
      <c r="A195" s="3" t="n">
        <f aca="false">IF('Cleaned Data'!A195="Female",0,1)</f>
        <v>1</v>
      </c>
      <c r="B195" s="3" t="n">
        <f aca="false">IF('Cleaned Data'!B195="No",0,1)</f>
        <v>1</v>
      </c>
      <c r="C195" s="3" t="n">
        <f aca="false">IF('Cleaned Data'!C195="Thur",1,IF('Cleaned Data'!C195="Fri",2,IF('Cleaned Data'!C195="Sat",3,4)))</f>
        <v>1</v>
      </c>
      <c r="D195" s="3" t="n">
        <f aca="false">IF('Cleaned Data'!D195="Lunch",0,1)</f>
        <v>0</v>
      </c>
      <c r="E195" s="3" t="n">
        <f aca="false">'Cleaned Data'!E195</f>
        <v>2</v>
      </c>
      <c r="F195" s="3" t="n">
        <f aca="false">'Cleaned Data'!F195</f>
        <v>28.44</v>
      </c>
      <c r="G195" s="3" t="n">
        <f aca="false">'Cleaned Data'!G195</f>
        <v>2.56</v>
      </c>
    </row>
    <row r="196" customFormat="false" ht="15" hidden="false" customHeight="false" outlineLevel="0" collapsed="false">
      <c r="A196" s="4" t="n">
        <f aca="false">IF('Cleaned Data'!A196="Female",0,1)</f>
        <v>1</v>
      </c>
      <c r="B196" s="4" t="n">
        <f aca="false">IF('Cleaned Data'!B196="No",0,1)</f>
        <v>1</v>
      </c>
      <c r="C196" s="4" t="n">
        <f aca="false">IF('Cleaned Data'!C196="Thur",1,IF('Cleaned Data'!C196="Fri",2,IF('Cleaned Data'!C196="Sat",3,4)))</f>
        <v>1</v>
      </c>
      <c r="D196" s="4" t="n">
        <f aca="false">IF('Cleaned Data'!D196="Lunch",0,1)</f>
        <v>0</v>
      </c>
      <c r="E196" s="4" t="n">
        <f aca="false">'Cleaned Data'!E196</f>
        <v>2</v>
      </c>
      <c r="F196" s="4" t="n">
        <f aca="false">'Cleaned Data'!F196</f>
        <v>15.48</v>
      </c>
      <c r="G196" s="4" t="n">
        <f aca="false">'Cleaned Data'!G196</f>
        <v>2.02</v>
      </c>
    </row>
    <row r="197" customFormat="false" ht="15" hidden="false" customHeight="false" outlineLevel="0" collapsed="false">
      <c r="A197" s="3" t="n">
        <f aca="false">IF('Cleaned Data'!A197="Female",0,1)</f>
        <v>1</v>
      </c>
      <c r="B197" s="3" t="n">
        <f aca="false">IF('Cleaned Data'!B197="No",0,1)</f>
        <v>1</v>
      </c>
      <c r="C197" s="3" t="n">
        <f aca="false">IF('Cleaned Data'!C197="Thur",1,IF('Cleaned Data'!C197="Fri",2,IF('Cleaned Data'!C197="Sat",3,4)))</f>
        <v>1</v>
      </c>
      <c r="D197" s="3" t="n">
        <f aca="false">IF('Cleaned Data'!D197="Lunch",0,1)</f>
        <v>0</v>
      </c>
      <c r="E197" s="3" t="n">
        <f aca="false">'Cleaned Data'!E197</f>
        <v>2</v>
      </c>
      <c r="F197" s="3" t="n">
        <f aca="false">'Cleaned Data'!F197</f>
        <v>16.58</v>
      </c>
      <c r="G197" s="3" t="n">
        <f aca="false">'Cleaned Data'!G197</f>
        <v>4</v>
      </c>
    </row>
    <row r="198" customFormat="false" ht="15" hidden="false" customHeight="false" outlineLevel="0" collapsed="false">
      <c r="A198" s="4" t="n">
        <f aca="false">IF('Cleaned Data'!A198="Female",0,1)</f>
        <v>1</v>
      </c>
      <c r="B198" s="4" t="n">
        <f aca="false">IF('Cleaned Data'!B198="No",0,1)</f>
        <v>0</v>
      </c>
      <c r="C198" s="4" t="n">
        <f aca="false">IF('Cleaned Data'!C198="Thur",1,IF('Cleaned Data'!C198="Fri",2,IF('Cleaned Data'!C198="Sat",3,4)))</f>
        <v>1</v>
      </c>
      <c r="D198" s="4" t="n">
        <f aca="false">IF('Cleaned Data'!D198="Lunch",0,1)</f>
        <v>0</v>
      </c>
      <c r="E198" s="4" t="n">
        <f aca="false">'Cleaned Data'!E198</f>
        <v>2</v>
      </c>
      <c r="F198" s="4" t="n">
        <f aca="false">'Cleaned Data'!F198</f>
        <v>7.56</v>
      </c>
      <c r="G198" s="4" t="n">
        <f aca="false">'Cleaned Data'!G198</f>
        <v>1.44</v>
      </c>
    </row>
    <row r="199" customFormat="false" ht="15" hidden="false" customHeight="false" outlineLevel="0" collapsed="false">
      <c r="A199" s="3" t="n">
        <f aca="false">IF('Cleaned Data'!A199="Female",0,1)</f>
        <v>1</v>
      </c>
      <c r="B199" s="3" t="n">
        <f aca="false">IF('Cleaned Data'!B199="No",0,1)</f>
        <v>1</v>
      </c>
      <c r="C199" s="3" t="n">
        <f aca="false">IF('Cleaned Data'!C199="Thur",1,IF('Cleaned Data'!C199="Fri",2,IF('Cleaned Data'!C199="Sat",3,4)))</f>
        <v>1</v>
      </c>
      <c r="D199" s="3" t="n">
        <f aca="false">IF('Cleaned Data'!D199="Lunch",0,1)</f>
        <v>0</v>
      </c>
      <c r="E199" s="3" t="n">
        <f aca="false">'Cleaned Data'!E199</f>
        <v>2</v>
      </c>
      <c r="F199" s="3" t="n">
        <f aca="false">'Cleaned Data'!F199</f>
        <v>10.34</v>
      </c>
      <c r="G199" s="3" t="n">
        <f aca="false">'Cleaned Data'!G199</f>
        <v>2</v>
      </c>
    </row>
    <row r="200" customFormat="false" ht="15" hidden="false" customHeight="false" outlineLevel="0" collapsed="false">
      <c r="A200" s="4" t="n">
        <f aca="false">IF('Cleaned Data'!A200="Female",0,1)</f>
        <v>0</v>
      </c>
      <c r="B200" s="4" t="n">
        <f aca="false">IF('Cleaned Data'!B200="No",0,1)</f>
        <v>1</v>
      </c>
      <c r="C200" s="4" t="n">
        <f aca="false">IF('Cleaned Data'!C200="Thur",1,IF('Cleaned Data'!C200="Fri",2,IF('Cleaned Data'!C200="Sat",3,4)))</f>
        <v>1</v>
      </c>
      <c r="D200" s="4" t="n">
        <f aca="false">IF('Cleaned Data'!D200="Lunch",0,1)</f>
        <v>0</v>
      </c>
      <c r="E200" s="4" t="n">
        <f aca="false">'Cleaned Data'!E200</f>
        <v>4</v>
      </c>
      <c r="F200" s="4" t="n">
        <f aca="false">'Cleaned Data'!F200</f>
        <v>43.11</v>
      </c>
      <c r="G200" s="4" t="n">
        <f aca="false">'Cleaned Data'!G200</f>
        <v>5</v>
      </c>
    </row>
    <row r="201" customFormat="false" ht="15" hidden="false" customHeight="false" outlineLevel="0" collapsed="false">
      <c r="A201" s="3" t="n">
        <f aca="false">IF('Cleaned Data'!A201="Female",0,1)</f>
        <v>0</v>
      </c>
      <c r="B201" s="3" t="n">
        <f aca="false">IF('Cleaned Data'!B201="No",0,1)</f>
        <v>1</v>
      </c>
      <c r="C201" s="3" t="n">
        <f aca="false">IF('Cleaned Data'!C201="Thur",1,IF('Cleaned Data'!C201="Fri",2,IF('Cleaned Data'!C201="Sat",3,4)))</f>
        <v>1</v>
      </c>
      <c r="D201" s="3" t="n">
        <f aca="false">IF('Cleaned Data'!D201="Lunch",0,1)</f>
        <v>0</v>
      </c>
      <c r="E201" s="3" t="n">
        <f aca="false">'Cleaned Data'!E201</f>
        <v>2</v>
      </c>
      <c r="F201" s="3" t="n">
        <f aca="false">'Cleaned Data'!F201</f>
        <v>13</v>
      </c>
      <c r="G201" s="3" t="n">
        <f aca="false">'Cleaned Data'!G201</f>
        <v>2</v>
      </c>
    </row>
    <row r="202" customFormat="false" ht="15" hidden="false" customHeight="false" outlineLevel="0" collapsed="false">
      <c r="A202" s="4" t="n">
        <f aca="false">IF('Cleaned Data'!A202="Female",0,1)</f>
        <v>1</v>
      </c>
      <c r="B202" s="4" t="n">
        <f aca="false">IF('Cleaned Data'!B202="No",0,1)</f>
        <v>1</v>
      </c>
      <c r="C202" s="4" t="n">
        <f aca="false">IF('Cleaned Data'!C202="Thur",1,IF('Cleaned Data'!C202="Fri",2,IF('Cleaned Data'!C202="Sat",3,4)))</f>
        <v>1</v>
      </c>
      <c r="D202" s="4" t="n">
        <f aca="false">IF('Cleaned Data'!D202="Lunch",0,1)</f>
        <v>0</v>
      </c>
      <c r="E202" s="4" t="n">
        <f aca="false">'Cleaned Data'!E202</f>
        <v>2</v>
      </c>
      <c r="F202" s="4" t="n">
        <f aca="false">'Cleaned Data'!F202</f>
        <v>13.51</v>
      </c>
      <c r="G202" s="4" t="n">
        <f aca="false">'Cleaned Data'!G202</f>
        <v>2</v>
      </c>
    </row>
    <row r="203" customFormat="false" ht="15" hidden="false" customHeight="false" outlineLevel="0" collapsed="false">
      <c r="A203" s="3" t="n">
        <f aca="false">IF('Cleaned Data'!A203="Female",0,1)</f>
        <v>1</v>
      </c>
      <c r="B203" s="3" t="n">
        <f aca="false">IF('Cleaned Data'!B203="No",0,1)</f>
        <v>1</v>
      </c>
      <c r="C203" s="3" t="n">
        <f aca="false">IF('Cleaned Data'!C203="Thur",1,IF('Cleaned Data'!C203="Fri",2,IF('Cleaned Data'!C203="Sat",3,4)))</f>
        <v>1</v>
      </c>
      <c r="D203" s="3" t="n">
        <f aca="false">IF('Cleaned Data'!D203="Lunch",0,1)</f>
        <v>0</v>
      </c>
      <c r="E203" s="3" t="n">
        <f aca="false">'Cleaned Data'!E203</f>
        <v>3</v>
      </c>
      <c r="F203" s="3" t="n">
        <f aca="false">'Cleaned Data'!F203</f>
        <v>18.71</v>
      </c>
      <c r="G203" s="3" t="n">
        <f aca="false">'Cleaned Data'!G203</f>
        <v>4</v>
      </c>
    </row>
    <row r="204" customFormat="false" ht="15" hidden="false" customHeight="false" outlineLevel="0" collapsed="false">
      <c r="A204" s="4" t="n">
        <f aca="false">IF('Cleaned Data'!A204="Female",0,1)</f>
        <v>0</v>
      </c>
      <c r="B204" s="4" t="n">
        <f aca="false">IF('Cleaned Data'!B204="No",0,1)</f>
        <v>1</v>
      </c>
      <c r="C204" s="4" t="n">
        <f aca="false">IF('Cleaned Data'!C204="Thur",1,IF('Cleaned Data'!C204="Fri",2,IF('Cleaned Data'!C204="Sat",3,4)))</f>
        <v>1</v>
      </c>
      <c r="D204" s="4" t="n">
        <f aca="false">IF('Cleaned Data'!D204="Lunch",0,1)</f>
        <v>0</v>
      </c>
      <c r="E204" s="4" t="n">
        <f aca="false">'Cleaned Data'!E204</f>
        <v>2</v>
      </c>
      <c r="F204" s="4" t="n">
        <f aca="false">'Cleaned Data'!F204</f>
        <v>12.74</v>
      </c>
      <c r="G204" s="4" t="n">
        <f aca="false">'Cleaned Data'!G204</f>
        <v>2.01</v>
      </c>
    </row>
    <row r="205" customFormat="false" ht="15" hidden="false" customHeight="false" outlineLevel="0" collapsed="false">
      <c r="A205" s="3" t="n">
        <f aca="false">IF('Cleaned Data'!A205="Female",0,1)</f>
        <v>0</v>
      </c>
      <c r="B205" s="3" t="n">
        <f aca="false">IF('Cleaned Data'!B205="No",0,1)</f>
        <v>1</v>
      </c>
      <c r="C205" s="3" t="n">
        <f aca="false">IF('Cleaned Data'!C205="Thur",1,IF('Cleaned Data'!C205="Fri",2,IF('Cleaned Data'!C205="Sat",3,4)))</f>
        <v>1</v>
      </c>
      <c r="D205" s="3" t="n">
        <f aca="false">IF('Cleaned Data'!D205="Lunch",0,1)</f>
        <v>0</v>
      </c>
      <c r="E205" s="3" t="n">
        <f aca="false">'Cleaned Data'!E205</f>
        <v>2</v>
      </c>
      <c r="F205" s="3" t="n">
        <f aca="false">'Cleaned Data'!F205</f>
        <v>16.4</v>
      </c>
      <c r="G205" s="3" t="n">
        <f aca="false">'Cleaned Data'!G205</f>
        <v>2.5</v>
      </c>
    </row>
    <row r="206" customFormat="false" ht="15" hidden="false" customHeight="false" outlineLevel="0" collapsed="false">
      <c r="A206" s="4" t="n">
        <f aca="false">IF('Cleaned Data'!A206="Female",0,1)</f>
        <v>1</v>
      </c>
      <c r="B206" s="4" t="n">
        <f aca="false">IF('Cleaned Data'!B206="No",0,1)</f>
        <v>1</v>
      </c>
      <c r="C206" s="4" t="n">
        <f aca="false">IF('Cleaned Data'!C206="Thur",1,IF('Cleaned Data'!C206="Fri",2,IF('Cleaned Data'!C206="Sat",3,4)))</f>
        <v>1</v>
      </c>
      <c r="D206" s="4" t="n">
        <f aca="false">IF('Cleaned Data'!D206="Lunch",0,1)</f>
        <v>0</v>
      </c>
      <c r="E206" s="4" t="n">
        <f aca="false">'Cleaned Data'!E206</f>
        <v>4</v>
      </c>
      <c r="F206" s="4" t="n">
        <f aca="false">'Cleaned Data'!F206</f>
        <v>20.53</v>
      </c>
      <c r="G206" s="4" t="n">
        <f aca="false">'Cleaned Data'!G206</f>
        <v>4</v>
      </c>
    </row>
    <row r="207" customFormat="false" ht="15" hidden="false" customHeight="false" outlineLevel="0" collapsed="false">
      <c r="A207" s="3" t="n">
        <f aca="false">IF('Cleaned Data'!A207="Female",0,1)</f>
        <v>0</v>
      </c>
      <c r="B207" s="3" t="n">
        <f aca="false">IF('Cleaned Data'!B207="No",0,1)</f>
        <v>1</v>
      </c>
      <c r="C207" s="3" t="n">
        <f aca="false">IF('Cleaned Data'!C207="Thur",1,IF('Cleaned Data'!C207="Fri",2,IF('Cleaned Data'!C207="Sat",3,4)))</f>
        <v>1</v>
      </c>
      <c r="D207" s="3" t="n">
        <f aca="false">IF('Cleaned Data'!D207="Lunch",0,1)</f>
        <v>0</v>
      </c>
      <c r="E207" s="3" t="n">
        <f aca="false">'Cleaned Data'!E207</f>
        <v>3</v>
      </c>
      <c r="F207" s="3" t="n">
        <f aca="false">'Cleaned Data'!F207</f>
        <v>16.47</v>
      </c>
      <c r="G207" s="3" t="n">
        <f aca="false">'Cleaned Data'!G207</f>
        <v>3.23</v>
      </c>
    </row>
    <row r="208" customFormat="false" ht="15" hidden="false" customHeight="false" outlineLevel="0" collapsed="false">
      <c r="A208" s="4" t="n">
        <f aca="false">IF('Cleaned Data'!A208="Female",0,1)</f>
        <v>1</v>
      </c>
      <c r="B208" s="4" t="n">
        <f aca="false">IF('Cleaned Data'!B208="No",0,1)</f>
        <v>1</v>
      </c>
      <c r="C208" s="4" t="n">
        <f aca="false">IF('Cleaned Data'!C208="Thur",1,IF('Cleaned Data'!C208="Fri",2,IF('Cleaned Data'!C208="Sat",3,4)))</f>
        <v>3</v>
      </c>
      <c r="D208" s="4" t="n">
        <f aca="false">IF('Cleaned Data'!D208="Lunch",0,1)</f>
        <v>1</v>
      </c>
      <c r="E208" s="4" t="n">
        <f aca="false">'Cleaned Data'!E208</f>
        <v>3</v>
      </c>
      <c r="F208" s="4" t="n">
        <f aca="false">'Cleaned Data'!F208</f>
        <v>26.59</v>
      </c>
      <c r="G208" s="4" t="n">
        <f aca="false">'Cleaned Data'!G208</f>
        <v>3.41</v>
      </c>
    </row>
    <row r="209" customFormat="false" ht="15" hidden="false" customHeight="false" outlineLevel="0" collapsed="false">
      <c r="A209" s="3" t="n">
        <f aca="false">IF('Cleaned Data'!A209="Female",0,1)</f>
        <v>1</v>
      </c>
      <c r="B209" s="3" t="n">
        <f aca="false">IF('Cleaned Data'!B209="No",0,1)</f>
        <v>1</v>
      </c>
      <c r="C209" s="3" t="n">
        <f aca="false">IF('Cleaned Data'!C209="Thur",1,IF('Cleaned Data'!C209="Fri",2,IF('Cleaned Data'!C209="Sat",3,4)))</f>
        <v>3</v>
      </c>
      <c r="D209" s="3" t="n">
        <f aca="false">IF('Cleaned Data'!D209="Lunch",0,1)</f>
        <v>1</v>
      </c>
      <c r="E209" s="3" t="n">
        <f aca="false">'Cleaned Data'!E209</f>
        <v>4</v>
      </c>
      <c r="F209" s="3" t="n">
        <f aca="false">'Cleaned Data'!F209</f>
        <v>38.73</v>
      </c>
      <c r="G209" s="3" t="n">
        <f aca="false">'Cleaned Data'!G209</f>
        <v>3</v>
      </c>
    </row>
    <row r="210" customFormat="false" ht="15" hidden="false" customHeight="false" outlineLevel="0" collapsed="false">
      <c r="A210" s="4" t="n">
        <f aca="false">IF('Cleaned Data'!A210="Female",0,1)</f>
        <v>1</v>
      </c>
      <c r="B210" s="4" t="n">
        <f aca="false">IF('Cleaned Data'!B210="No",0,1)</f>
        <v>1</v>
      </c>
      <c r="C210" s="4" t="n">
        <f aca="false">IF('Cleaned Data'!C210="Thur",1,IF('Cleaned Data'!C210="Fri",2,IF('Cleaned Data'!C210="Sat",3,4)))</f>
        <v>3</v>
      </c>
      <c r="D210" s="4" t="n">
        <f aca="false">IF('Cleaned Data'!D210="Lunch",0,1)</f>
        <v>1</v>
      </c>
      <c r="E210" s="4" t="n">
        <f aca="false">'Cleaned Data'!E210</f>
        <v>2</v>
      </c>
      <c r="F210" s="4" t="n">
        <f aca="false">'Cleaned Data'!F210</f>
        <v>24.27</v>
      </c>
      <c r="G210" s="4" t="n">
        <f aca="false">'Cleaned Data'!G210</f>
        <v>2.03</v>
      </c>
    </row>
    <row r="211" customFormat="false" ht="15" hidden="false" customHeight="false" outlineLevel="0" collapsed="false">
      <c r="A211" s="3" t="n">
        <f aca="false">IF('Cleaned Data'!A211="Female",0,1)</f>
        <v>0</v>
      </c>
      <c r="B211" s="3" t="n">
        <f aca="false">IF('Cleaned Data'!B211="No",0,1)</f>
        <v>1</v>
      </c>
      <c r="C211" s="3" t="n">
        <f aca="false">IF('Cleaned Data'!C211="Thur",1,IF('Cleaned Data'!C211="Fri",2,IF('Cleaned Data'!C211="Sat",3,4)))</f>
        <v>3</v>
      </c>
      <c r="D211" s="3" t="n">
        <f aca="false">IF('Cleaned Data'!D211="Lunch",0,1)</f>
        <v>1</v>
      </c>
      <c r="E211" s="3" t="n">
        <f aca="false">'Cleaned Data'!E211</f>
        <v>2</v>
      </c>
      <c r="F211" s="3" t="n">
        <f aca="false">'Cleaned Data'!F211</f>
        <v>12.76</v>
      </c>
      <c r="G211" s="3" t="n">
        <f aca="false">'Cleaned Data'!G211</f>
        <v>2.23</v>
      </c>
    </row>
    <row r="212" customFormat="false" ht="15" hidden="false" customHeight="false" outlineLevel="0" collapsed="false">
      <c r="A212" s="4" t="n">
        <f aca="false">IF('Cleaned Data'!A212="Female",0,1)</f>
        <v>1</v>
      </c>
      <c r="B212" s="4" t="n">
        <f aca="false">IF('Cleaned Data'!B212="No",0,1)</f>
        <v>1</v>
      </c>
      <c r="C212" s="4" t="n">
        <f aca="false">IF('Cleaned Data'!C212="Thur",1,IF('Cleaned Data'!C212="Fri",2,IF('Cleaned Data'!C212="Sat",3,4)))</f>
        <v>3</v>
      </c>
      <c r="D212" s="4" t="n">
        <f aca="false">IF('Cleaned Data'!D212="Lunch",0,1)</f>
        <v>1</v>
      </c>
      <c r="E212" s="4" t="n">
        <f aca="false">'Cleaned Data'!E212</f>
        <v>3</v>
      </c>
      <c r="F212" s="4" t="n">
        <f aca="false">'Cleaned Data'!F212</f>
        <v>30.06</v>
      </c>
      <c r="G212" s="4" t="n">
        <f aca="false">'Cleaned Data'!G212</f>
        <v>2</v>
      </c>
    </row>
    <row r="213" customFormat="false" ht="15" hidden="false" customHeight="false" outlineLevel="0" collapsed="false">
      <c r="A213" s="3" t="n">
        <f aca="false">IF('Cleaned Data'!A213="Female",0,1)</f>
        <v>1</v>
      </c>
      <c r="B213" s="3" t="n">
        <f aca="false">IF('Cleaned Data'!B213="No",0,1)</f>
        <v>1</v>
      </c>
      <c r="C213" s="3" t="n">
        <f aca="false">IF('Cleaned Data'!C213="Thur",1,IF('Cleaned Data'!C213="Fri",2,IF('Cleaned Data'!C213="Sat",3,4)))</f>
        <v>3</v>
      </c>
      <c r="D213" s="3" t="n">
        <f aca="false">IF('Cleaned Data'!D213="Lunch",0,1)</f>
        <v>1</v>
      </c>
      <c r="E213" s="3" t="n">
        <f aca="false">'Cleaned Data'!E213</f>
        <v>4</v>
      </c>
      <c r="F213" s="3" t="n">
        <f aca="false">'Cleaned Data'!F213</f>
        <v>25.89</v>
      </c>
      <c r="G213" s="3" t="n">
        <f aca="false">'Cleaned Data'!G213</f>
        <v>5.16</v>
      </c>
    </row>
    <row r="214" customFormat="false" ht="15" hidden="false" customHeight="false" outlineLevel="0" collapsed="false">
      <c r="A214" s="4" t="n">
        <f aca="false">IF('Cleaned Data'!A214="Female",0,1)</f>
        <v>1</v>
      </c>
      <c r="B214" s="4" t="n">
        <f aca="false">IF('Cleaned Data'!B214="No",0,1)</f>
        <v>0</v>
      </c>
      <c r="C214" s="4" t="n">
        <f aca="false">IF('Cleaned Data'!C214="Thur",1,IF('Cleaned Data'!C214="Fri",2,IF('Cleaned Data'!C214="Sat",3,4)))</f>
        <v>3</v>
      </c>
      <c r="D214" s="4" t="n">
        <f aca="false">IF('Cleaned Data'!D214="Lunch",0,1)</f>
        <v>1</v>
      </c>
      <c r="E214" s="4" t="n">
        <f aca="false">'Cleaned Data'!E214</f>
        <v>4</v>
      </c>
      <c r="F214" s="4" t="n">
        <f aca="false">'Cleaned Data'!F214</f>
        <v>48.33</v>
      </c>
      <c r="G214" s="4" t="n">
        <f aca="false">'Cleaned Data'!G214</f>
        <v>9</v>
      </c>
    </row>
    <row r="215" customFormat="false" ht="15" hidden="false" customHeight="false" outlineLevel="0" collapsed="false">
      <c r="A215" s="3" t="n">
        <f aca="false">IF('Cleaned Data'!A215="Female",0,1)</f>
        <v>0</v>
      </c>
      <c r="B215" s="3" t="n">
        <f aca="false">IF('Cleaned Data'!B215="No",0,1)</f>
        <v>1</v>
      </c>
      <c r="C215" s="3" t="n">
        <f aca="false">IF('Cleaned Data'!C215="Thur",1,IF('Cleaned Data'!C215="Fri",2,IF('Cleaned Data'!C215="Sat",3,4)))</f>
        <v>3</v>
      </c>
      <c r="D215" s="3" t="n">
        <f aca="false">IF('Cleaned Data'!D215="Lunch",0,1)</f>
        <v>1</v>
      </c>
      <c r="E215" s="3" t="n">
        <f aca="false">'Cleaned Data'!E215</f>
        <v>2</v>
      </c>
      <c r="F215" s="3" t="n">
        <f aca="false">'Cleaned Data'!F215</f>
        <v>13.27</v>
      </c>
      <c r="G215" s="3" t="n">
        <f aca="false">'Cleaned Data'!G215</f>
        <v>2.5</v>
      </c>
    </row>
    <row r="216" customFormat="false" ht="15" hidden="false" customHeight="false" outlineLevel="0" collapsed="false">
      <c r="A216" s="4" t="n">
        <f aca="false">IF('Cleaned Data'!A216="Female",0,1)</f>
        <v>0</v>
      </c>
      <c r="B216" s="4" t="n">
        <f aca="false">IF('Cleaned Data'!B216="No",0,1)</f>
        <v>1</v>
      </c>
      <c r="C216" s="4" t="n">
        <f aca="false">IF('Cleaned Data'!C216="Thur",1,IF('Cleaned Data'!C216="Fri",2,IF('Cleaned Data'!C216="Sat",3,4)))</f>
        <v>3</v>
      </c>
      <c r="D216" s="4" t="n">
        <f aca="false">IF('Cleaned Data'!D216="Lunch",0,1)</f>
        <v>1</v>
      </c>
      <c r="E216" s="4" t="n">
        <f aca="false">'Cleaned Data'!E216</f>
        <v>3</v>
      </c>
      <c r="F216" s="4" t="n">
        <f aca="false">'Cleaned Data'!F216</f>
        <v>28.17</v>
      </c>
      <c r="G216" s="4" t="n">
        <f aca="false">'Cleaned Data'!G216</f>
        <v>6.5</v>
      </c>
    </row>
    <row r="217" customFormat="false" ht="15" hidden="false" customHeight="false" outlineLevel="0" collapsed="false">
      <c r="A217" s="3" t="n">
        <f aca="false">IF('Cleaned Data'!A217="Female",0,1)</f>
        <v>0</v>
      </c>
      <c r="B217" s="3" t="n">
        <f aca="false">IF('Cleaned Data'!B217="No",0,1)</f>
        <v>1</v>
      </c>
      <c r="C217" s="3" t="n">
        <f aca="false">IF('Cleaned Data'!C217="Thur",1,IF('Cleaned Data'!C217="Fri",2,IF('Cleaned Data'!C217="Sat",3,4)))</f>
        <v>3</v>
      </c>
      <c r="D217" s="3" t="n">
        <f aca="false">IF('Cleaned Data'!D217="Lunch",0,1)</f>
        <v>1</v>
      </c>
      <c r="E217" s="3" t="n">
        <f aca="false">'Cleaned Data'!E217</f>
        <v>2</v>
      </c>
      <c r="F217" s="3" t="n">
        <f aca="false">'Cleaned Data'!F217</f>
        <v>12.9</v>
      </c>
      <c r="G217" s="3" t="n">
        <f aca="false">'Cleaned Data'!G217</f>
        <v>1.1</v>
      </c>
    </row>
    <row r="218" customFormat="false" ht="15" hidden="false" customHeight="false" outlineLevel="0" collapsed="false">
      <c r="A218" s="4" t="n">
        <f aca="false">IF('Cleaned Data'!A218="Female",0,1)</f>
        <v>1</v>
      </c>
      <c r="B218" s="4" t="n">
        <f aca="false">IF('Cleaned Data'!B218="No",0,1)</f>
        <v>1</v>
      </c>
      <c r="C218" s="4" t="n">
        <f aca="false">IF('Cleaned Data'!C218="Thur",1,IF('Cleaned Data'!C218="Fri",2,IF('Cleaned Data'!C218="Sat",3,4)))</f>
        <v>3</v>
      </c>
      <c r="D218" s="4" t="n">
        <f aca="false">IF('Cleaned Data'!D218="Lunch",0,1)</f>
        <v>1</v>
      </c>
      <c r="E218" s="4" t="n">
        <f aca="false">'Cleaned Data'!E218</f>
        <v>5</v>
      </c>
      <c r="F218" s="4" t="n">
        <f aca="false">'Cleaned Data'!F218</f>
        <v>28.15</v>
      </c>
      <c r="G218" s="4" t="n">
        <f aca="false">'Cleaned Data'!G218</f>
        <v>3</v>
      </c>
    </row>
    <row r="219" customFormat="false" ht="15" hidden="false" customHeight="false" outlineLevel="0" collapsed="false">
      <c r="A219" s="3" t="n">
        <f aca="false">IF('Cleaned Data'!A219="Female",0,1)</f>
        <v>1</v>
      </c>
      <c r="B219" s="3" t="n">
        <f aca="false">IF('Cleaned Data'!B219="No",0,1)</f>
        <v>1</v>
      </c>
      <c r="C219" s="3" t="n">
        <f aca="false">IF('Cleaned Data'!C219="Thur",1,IF('Cleaned Data'!C219="Fri",2,IF('Cleaned Data'!C219="Sat",3,4)))</f>
        <v>3</v>
      </c>
      <c r="D219" s="3" t="n">
        <f aca="false">IF('Cleaned Data'!D219="Lunch",0,1)</f>
        <v>1</v>
      </c>
      <c r="E219" s="3" t="n">
        <f aca="false">'Cleaned Data'!E219</f>
        <v>2</v>
      </c>
      <c r="F219" s="3" t="n">
        <f aca="false">'Cleaned Data'!F219</f>
        <v>11.59</v>
      </c>
      <c r="G219" s="3" t="n">
        <f aca="false">'Cleaned Data'!G219</f>
        <v>1.5</v>
      </c>
    </row>
    <row r="220" customFormat="false" ht="15" hidden="false" customHeight="false" outlineLevel="0" collapsed="false">
      <c r="A220" s="4" t="n">
        <f aca="false">IF('Cleaned Data'!A220="Female",0,1)</f>
        <v>1</v>
      </c>
      <c r="B220" s="4" t="n">
        <f aca="false">IF('Cleaned Data'!B220="No",0,1)</f>
        <v>1</v>
      </c>
      <c r="C220" s="4" t="n">
        <f aca="false">IF('Cleaned Data'!C220="Thur",1,IF('Cleaned Data'!C220="Fri",2,IF('Cleaned Data'!C220="Sat",3,4)))</f>
        <v>3</v>
      </c>
      <c r="D220" s="4" t="n">
        <f aca="false">IF('Cleaned Data'!D220="Lunch",0,1)</f>
        <v>1</v>
      </c>
      <c r="E220" s="4" t="n">
        <f aca="false">'Cleaned Data'!E220</f>
        <v>2</v>
      </c>
      <c r="F220" s="4" t="n">
        <f aca="false">'Cleaned Data'!F220</f>
        <v>7.74</v>
      </c>
      <c r="G220" s="4" t="n">
        <f aca="false">'Cleaned Data'!G220</f>
        <v>1.44</v>
      </c>
    </row>
    <row r="221" customFormat="false" ht="15" hidden="false" customHeight="false" outlineLevel="0" collapsed="false">
      <c r="A221" s="3" t="n">
        <f aca="false">IF('Cleaned Data'!A221="Female",0,1)</f>
        <v>0</v>
      </c>
      <c r="B221" s="3" t="n">
        <f aca="false">IF('Cleaned Data'!B221="No",0,1)</f>
        <v>1</v>
      </c>
      <c r="C221" s="3" t="n">
        <f aca="false">IF('Cleaned Data'!C221="Thur",1,IF('Cleaned Data'!C221="Fri",2,IF('Cleaned Data'!C221="Sat",3,4)))</f>
        <v>3</v>
      </c>
      <c r="D221" s="3" t="n">
        <f aca="false">IF('Cleaned Data'!D221="Lunch",0,1)</f>
        <v>1</v>
      </c>
      <c r="E221" s="3" t="n">
        <f aca="false">'Cleaned Data'!E221</f>
        <v>4</v>
      </c>
      <c r="F221" s="3" t="n">
        <f aca="false">'Cleaned Data'!F221</f>
        <v>30.14</v>
      </c>
      <c r="G221" s="3" t="n">
        <f aca="false">'Cleaned Data'!G221</f>
        <v>3.09</v>
      </c>
    </row>
    <row r="222" customFormat="false" ht="15" hidden="false" customHeight="false" outlineLevel="0" collapsed="false">
      <c r="A222" s="4" t="n">
        <f aca="false">IF('Cleaned Data'!A222="Female",0,1)</f>
        <v>1</v>
      </c>
      <c r="B222" s="4" t="n">
        <f aca="false">IF('Cleaned Data'!B222="No",0,1)</f>
        <v>1</v>
      </c>
      <c r="C222" s="4" t="n">
        <f aca="false">IF('Cleaned Data'!C222="Thur",1,IF('Cleaned Data'!C222="Fri",2,IF('Cleaned Data'!C222="Sat",3,4)))</f>
        <v>2</v>
      </c>
      <c r="D222" s="4" t="n">
        <f aca="false">IF('Cleaned Data'!D222="Lunch",0,1)</f>
        <v>0</v>
      </c>
      <c r="E222" s="4" t="n">
        <f aca="false">'Cleaned Data'!E222</f>
        <v>2</v>
      </c>
      <c r="F222" s="4" t="n">
        <f aca="false">'Cleaned Data'!F222</f>
        <v>12.16</v>
      </c>
      <c r="G222" s="4" t="n">
        <f aca="false">'Cleaned Data'!G222</f>
        <v>2.2</v>
      </c>
    </row>
    <row r="223" customFormat="false" ht="15" hidden="false" customHeight="false" outlineLevel="0" collapsed="false">
      <c r="A223" s="3" t="n">
        <f aca="false">IF('Cleaned Data'!A223="Female",0,1)</f>
        <v>0</v>
      </c>
      <c r="B223" s="3" t="n">
        <f aca="false">IF('Cleaned Data'!B223="No",0,1)</f>
        <v>1</v>
      </c>
      <c r="C223" s="3" t="n">
        <f aca="false">IF('Cleaned Data'!C223="Thur",1,IF('Cleaned Data'!C223="Fri",2,IF('Cleaned Data'!C223="Sat",3,4)))</f>
        <v>2</v>
      </c>
      <c r="D223" s="3" t="n">
        <f aca="false">IF('Cleaned Data'!D223="Lunch",0,1)</f>
        <v>0</v>
      </c>
      <c r="E223" s="3" t="n">
        <f aca="false">'Cleaned Data'!E223</f>
        <v>2</v>
      </c>
      <c r="F223" s="3" t="n">
        <f aca="false">'Cleaned Data'!F223</f>
        <v>13.42</v>
      </c>
      <c r="G223" s="3" t="n">
        <f aca="false">'Cleaned Data'!G223</f>
        <v>3.48</v>
      </c>
    </row>
    <row r="224" customFormat="false" ht="15" hidden="false" customHeight="false" outlineLevel="0" collapsed="false">
      <c r="A224" s="4" t="n">
        <f aca="false">IF('Cleaned Data'!A224="Female",0,1)</f>
        <v>1</v>
      </c>
      <c r="B224" s="4" t="n">
        <f aca="false">IF('Cleaned Data'!B224="No",0,1)</f>
        <v>1</v>
      </c>
      <c r="C224" s="4" t="n">
        <f aca="false">IF('Cleaned Data'!C224="Thur",1,IF('Cleaned Data'!C224="Fri",2,IF('Cleaned Data'!C224="Sat",3,4)))</f>
        <v>2</v>
      </c>
      <c r="D224" s="4" t="n">
        <f aca="false">IF('Cleaned Data'!D224="Lunch",0,1)</f>
        <v>0</v>
      </c>
      <c r="E224" s="4" t="n">
        <f aca="false">'Cleaned Data'!E224</f>
        <v>1</v>
      </c>
      <c r="F224" s="4" t="n">
        <f aca="false">'Cleaned Data'!F224</f>
        <v>8.58</v>
      </c>
      <c r="G224" s="4" t="n">
        <f aca="false">'Cleaned Data'!G224</f>
        <v>1.92</v>
      </c>
    </row>
    <row r="225" customFormat="false" ht="15" hidden="false" customHeight="false" outlineLevel="0" collapsed="false">
      <c r="A225" s="3" t="n">
        <f aca="false">IF('Cleaned Data'!A225="Female",0,1)</f>
        <v>0</v>
      </c>
      <c r="B225" s="3" t="n">
        <f aca="false">IF('Cleaned Data'!B225="No",0,1)</f>
        <v>0</v>
      </c>
      <c r="C225" s="3" t="n">
        <f aca="false">IF('Cleaned Data'!C225="Thur",1,IF('Cleaned Data'!C225="Fri",2,IF('Cleaned Data'!C225="Sat",3,4)))</f>
        <v>2</v>
      </c>
      <c r="D225" s="3" t="n">
        <f aca="false">IF('Cleaned Data'!D225="Lunch",0,1)</f>
        <v>0</v>
      </c>
      <c r="E225" s="3" t="n">
        <f aca="false">'Cleaned Data'!E225</f>
        <v>3</v>
      </c>
      <c r="F225" s="3" t="n">
        <f aca="false">'Cleaned Data'!F225</f>
        <v>15.98</v>
      </c>
      <c r="G225" s="3" t="n">
        <f aca="false">'Cleaned Data'!G225</f>
        <v>3</v>
      </c>
    </row>
    <row r="226" customFormat="false" ht="15" hidden="false" customHeight="false" outlineLevel="0" collapsed="false">
      <c r="A226" s="4" t="n">
        <f aca="false">IF('Cleaned Data'!A226="Female",0,1)</f>
        <v>1</v>
      </c>
      <c r="B226" s="4" t="n">
        <f aca="false">IF('Cleaned Data'!B226="No",0,1)</f>
        <v>1</v>
      </c>
      <c r="C226" s="4" t="n">
        <f aca="false">IF('Cleaned Data'!C226="Thur",1,IF('Cleaned Data'!C226="Fri",2,IF('Cleaned Data'!C226="Sat",3,4)))</f>
        <v>2</v>
      </c>
      <c r="D226" s="4" t="n">
        <f aca="false">IF('Cleaned Data'!D226="Lunch",0,1)</f>
        <v>0</v>
      </c>
      <c r="E226" s="4" t="n">
        <f aca="false">'Cleaned Data'!E226</f>
        <v>2</v>
      </c>
      <c r="F226" s="4" t="n">
        <f aca="false">'Cleaned Data'!F226</f>
        <v>13.42</v>
      </c>
      <c r="G226" s="4" t="n">
        <f aca="false">'Cleaned Data'!G226</f>
        <v>1.58</v>
      </c>
    </row>
    <row r="227" customFormat="false" ht="15" hidden="false" customHeight="false" outlineLevel="0" collapsed="false">
      <c r="A227" s="3" t="n">
        <f aca="false">IF('Cleaned Data'!A227="Female",0,1)</f>
        <v>0</v>
      </c>
      <c r="B227" s="3" t="n">
        <f aca="false">IF('Cleaned Data'!B227="No",0,1)</f>
        <v>1</v>
      </c>
      <c r="C227" s="3" t="n">
        <f aca="false">IF('Cleaned Data'!C227="Thur",1,IF('Cleaned Data'!C227="Fri",2,IF('Cleaned Data'!C227="Sat",3,4)))</f>
        <v>2</v>
      </c>
      <c r="D227" s="3" t="n">
        <f aca="false">IF('Cleaned Data'!D227="Lunch",0,1)</f>
        <v>0</v>
      </c>
      <c r="E227" s="3" t="n">
        <f aca="false">'Cleaned Data'!E227</f>
        <v>2</v>
      </c>
      <c r="F227" s="3" t="n">
        <f aca="false">'Cleaned Data'!F227</f>
        <v>16.27</v>
      </c>
      <c r="G227" s="3" t="n">
        <f aca="false">'Cleaned Data'!G227</f>
        <v>2.5</v>
      </c>
    </row>
    <row r="228" customFormat="false" ht="15" hidden="false" customHeight="false" outlineLevel="0" collapsed="false">
      <c r="A228" s="4" t="n">
        <f aca="false">IF('Cleaned Data'!A228="Female",0,1)</f>
        <v>0</v>
      </c>
      <c r="B228" s="4" t="n">
        <f aca="false">IF('Cleaned Data'!B228="No",0,1)</f>
        <v>1</v>
      </c>
      <c r="C228" s="4" t="n">
        <f aca="false">IF('Cleaned Data'!C228="Thur",1,IF('Cleaned Data'!C228="Fri",2,IF('Cleaned Data'!C228="Sat",3,4)))</f>
        <v>2</v>
      </c>
      <c r="D228" s="4" t="n">
        <f aca="false">IF('Cleaned Data'!D228="Lunch",0,1)</f>
        <v>0</v>
      </c>
      <c r="E228" s="4" t="n">
        <f aca="false">'Cleaned Data'!E228</f>
        <v>2</v>
      </c>
      <c r="F228" s="4" t="n">
        <f aca="false">'Cleaned Data'!F228</f>
        <v>10.09</v>
      </c>
      <c r="G228" s="4" t="n">
        <f aca="false">'Cleaned Data'!G228</f>
        <v>2</v>
      </c>
    </row>
    <row r="229" customFormat="false" ht="15" hidden="false" customHeight="false" outlineLevel="0" collapsed="false">
      <c r="A229" s="3" t="n">
        <f aca="false">IF('Cleaned Data'!A229="Female",0,1)</f>
        <v>1</v>
      </c>
      <c r="B229" s="3" t="n">
        <f aca="false">IF('Cleaned Data'!B229="No",0,1)</f>
        <v>0</v>
      </c>
      <c r="C229" s="3" t="n">
        <f aca="false">IF('Cleaned Data'!C229="Thur",1,IF('Cleaned Data'!C229="Fri",2,IF('Cleaned Data'!C229="Sat",3,4)))</f>
        <v>3</v>
      </c>
      <c r="D229" s="3" t="n">
        <f aca="false">IF('Cleaned Data'!D229="Lunch",0,1)</f>
        <v>1</v>
      </c>
      <c r="E229" s="3" t="n">
        <f aca="false">'Cleaned Data'!E229</f>
        <v>4</v>
      </c>
      <c r="F229" s="3" t="n">
        <f aca="false">'Cleaned Data'!F229</f>
        <v>20.45</v>
      </c>
      <c r="G229" s="3" t="n">
        <f aca="false">'Cleaned Data'!G229</f>
        <v>3</v>
      </c>
    </row>
    <row r="230" customFormat="false" ht="15" hidden="false" customHeight="false" outlineLevel="0" collapsed="false">
      <c r="A230" s="4" t="n">
        <f aca="false">IF('Cleaned Data'!A230="Female",0,1)</f>
        <v>1</v>
      </c>
      <c r="B230" s="4" t="n">
        <f aca="false">IF('Cleaned Data'!B230="No",0,1)</f>
        <v>0</v>
      </c>
      <c r="C230" s="4" t="n">
        <f aca="false">IF('Cleaned Data'!C230="Thur",1,IF('Cleaned Data'!C230="Fri",2,IF('Cleaned Data'!C230="Sat",3,4)))</f>
        <v>3</v>
      </c>
      <c r="D230" s="4" t="n">
        <f aca="false">IF('Cleaned Data'!D230="Lunch",0,1)</f>
        <v>1</v>
      </c>
      <c r="E230" s="4" t="n">
        <f aca="false">'Cleaned Data'!E230</f>
        <v>2</v>
      </c>
      <c r="F230" s="4" t="n">
        <f aca="false">'Cleaned Data'!F230</f>
        <v>13.28</v>
      </c>
      <c r="G230" s="4" t="n">
        <f aca="false">'Cleaned Data'!G230</f>
        <v>2.72</v>
      </c>
    </row>
    <row r="231" customFormat="false" ht="15" hidden="false" customHeight="false" outlineLevel="0" collapsed="false">
      <c r="A231" s="3" t="n">
        <f aca="false">IF('Cleaned Data'!A231="Female",0,1)</f>
        <v>0</v>
      </c>
      <c r="B231" s="3" t="n">
        <f aca="false">IF('Cleaned Data'!B231="No",0,1)</f>
        <v>1</v>
      </c>
      <c r="C231" s="3" t="n">
        <f aca="false">IF('Cleaned Data'!C231="Thur",1,IF('Cleaned Data'!C231="Fri",2,IF('Cleaned Data'!C231="Sat",3,4)))</f>
        <v>3</v>
      </c>
      <c r="D231" s="3" t="n">
        <f aca="false">IF('Cleaned Data'!D231="Lunch",0,1)</f>
        <v>1</v>
      </c>
      <c r="E231" s="3" t="n">
        <f aca="false">'Cleaned Data'!E231</f>
        <v>2</v>
      </c>
      <c r="F231" s="3" t="n">
        <f aca="false">'Cleaned Data'!F231</f>
        <v>22.12</v>
      </c>
      <c r="G231" s="3" t="n">
        <f aca="false">'Cleaned Data'!G231</f>
        <v>2.88</v>
      </c>
    </row>
    <row r="232" customFormat="false" ht="15" hidden="false" customHeight="false" outlineLevel="0" collapsed="false">
      <c r="A232" s="4" t="n">
        <f aca="false">IF('Cleaned Data'!A232="Female",0,1)</f>
        <v>1</v>
      </c>
      <c r="B232" s="4" t="n">
        <f aca="false">IF('Cleaned Data'!B232="No",0,1)</f>
        <v>1</v>
      </c>
      <c r="C232" s="4" t="n">
        <f aca="false">IF('Cleaned Data'!C232="Thur",1,IF('Cleaned Data'!C232="Fri",2,IF('Cleaned Data'!C232="Sat",3,4)))</f>
        <v>3</v>
      </c>
      <c r="D232" s="4" t="n">
        <f aca="false">IF('Cleaned Data'!D232="Lunch",0,1)</f>
        <v>1</v>
      </c>
      <c r="E232" s="4" t="n">
        <f aca="false">'Cleaned Data'!E232</f>
        <v>4</v>
      </c>
      <c r="F232" s="4" t="n">
        <f aca="false">'Cleaned Data'!F232</f>
        <v>24.01</v>
      </c>
      <c r="G232" s="4" t="n">
        <f aca="false">'Cleaned Data'!G232</f>
        <v>2</v>
      </c>
    </row>
    <row r="233" customFormat="false" ht="15" hidden="false" customHeight="false" outlineLevel="0" collapsed="false">
      <c r="A233" s="3" t="n">
        <f aca="false">IF('Cleaned Data'!A233="Female",0,1)</f>
        <v>1</v>
      </c>
      <c r="B233" s="3" t="n">
        <f aca="false">IF('Cleaned Data'!B233="No",0,1)</f>
        <v>1</v>
      </c>
      <c r="C233" s="3" t="n">
        <f aca="false">IF('Cleaned Data'!C233="Thur",1,IF('Cleaned Data'!C233="Fri",2,IF('Cleaned Data'!C233="Sat",3,4)))</f>
        <v>3</v>
      </c>
      <c r="D233" s="3" t="n">
        <f aca="false">IF('Cleaned Data'!D233="Lunch",0,1)</f>
        <v>1</v>
      </c>
      <c r="E233" s="3" t="n">
        <f aca="false">'Cleaned Data'!E233</f>
        <v>3</v>
      </c>
      <c r="F233" s="3" t="n">
        <f aca="false">'Cleaned Data'!F233</f>
        <v>15.69</v>
      </c>
      <c r="G233" s="3" t="n">
        <f aca="false">'Cleaned Data'!G233</f>
        <v>3</v>
      </c>
    </row>
    <row r="234" customFormat="false" ht="15" hidden="false" customHeight="false" outlineLevel="0" collapsed="false">
      <c r="A234" s="4" t="n">
        <f aca="false">IF('Cleaned Data'!A234="Female",0,1)</f>
        <v>1</v>
      </c>
      <c r="B234" s="4" t="n">
        <f aca="false">IF('Cleaned Data'!B234="No",0,1)</f>
        <v>0</v>
      </c>
      <c r="C234" s="4" t="n">
        <f aca="false">IF('Cleaned Data'!C234="Thur",1,IF('Cleaned Data'!C234="Fri",2,IF('Cleaned Data'!C234="Sat",3,4)))</f>
        <v>3</v>
      </c>
      <c r="D234" s="4" t="n">
        <f aca="false">IF('Cleaned Data'!D234="Lunch",0,1)</f>
        <v>1</v>
      </c>
      <c r="E234" s="4" t="n">
        <f aca="false">'Cleaned Data'!E234</f>
        <v>2</v>
      </c>
      <c r="F234" s="4" t="n">
        <f aca="false">'Cleaned Data'!F234</f>
        <v>11.61</v>
      </c>
      <c r="G234" s="4" t="n">
        <f aca="false">'Cleaned Data'!G234</f>
        <v>3.39</v>
      </c>
    </row>
    <row r="235" customFormat="false" ht="15" hidden="false" customHeight="false" outlineLevel="0" collapsed="false">
      <c r="A235" s="3" t="n">
        <f aca="false">IF('Cleaned Data'!A235="Female",0,1)</f>
        <v>1</v>
      </c>
      <c r="B235" s="3" t="n">
        <f aca="false">IF('Cleaned Data'!B235="No",0,1)</f>
        <v>0</v>
      </c>
      <c r="C235" s="3" t="n">
        <f aca="false">IF('Cleaned Data'!C235="Thur",1,IF('Cleaned Data'!C235="Fri",2,IF('Cleaned Data'!C235="Sat",3,4)))</f>
        <v>3</v>
      </c>
      <c r="D235" s="3" t="n">
        <f aca="false">IF('Cleaned Data'!D235="Lunch",0,1)</f>
        <v>1</v>
      </c>
      <c r="E235" s="3" t="n">
        <f aca="false">'Cleaned Data'!E235</f>
        <v>2</v>
      </c>
      <c r="F235" s="3" t="n">
        <f aca="false">'Cleaned Data'!F235</f>
        <v>10.77</v>
      </c>
      <c r="G235" s="3" t="n">
        <f aca="false">'Cleaned Data'!G235</f>
        <v>1.47</v>
      </c>
    </row>
    <row r="236" customFormat="false" ht="15" hidden="false" customHeight="false" outlineLevel="0" collapsed="false">
      <c r="A236" s="4" t="n">
        <f aca="false">IF('Cleaned Data'!A236="Female",0,1)</f>
        <v>1</v>
      </c>
      <c r="B236" s="4" t="n">
        <f aca="false">IF('Cleaned Data'!B236="No",0,1)</f>
        <v>1</v>
      </c>
      <c r="C236" s="4" t="n">
        <f aca="false">IF('Cleaned Data'!C236="Thur",1,IF('Cleaned Data'!C236="Fri",2,IF('Cleaned Data'!C236="Sat",3,4)))</f>
        <v>3</v>
      </c>
      <c r="D236" s="4" t="n">
        <f aca="false">IF('Cleaned Data'!D236="Lunch",0,1)</f>
        <v>1</v>
      </c>
      <c r="E236" s="4" t="n">
        <f aca="false">'Cleaned Data'!E236</f>
        <v>2</v>
      </c>
      <c r="F236" s="4" t="n">
        <f aca="false">'Cleaned Data'!F236</f>
        <v>15.53</v>
      </c>
      <c r="G236" s="4" t="n">
        <f aca="false">'Cleaned Data'!G236</f>
        <v>3</v>
      </c>
    </row>
    <row r="237" customFormat="false" ht="15" hidden="false" customHeight="false" outlineLevel="0" collapsed="false">
      <c r="A237" s="3" t="n">
        <f aca="false">IF('Cleaned Data'!A237="Female",0,1)</f>
        <v>1</v>
      </c>
      <c r="B237" s="3" t="n">
        <f aca="false">IF('Cleaned Data'!B237="No",0,1)</f>
        <v>0</v>
      </c>
      <c r="C237" s="3" t="n">
        <f aca="false">IF('Cleaned Data'!C237="Thur",1,IF('Cleaned Data'!C237="Fri",2,IF('Cleaned Data'!C237="Sat",3,4)))</f>
        <v>3</v>
      </c>
      <c r="D237" s="3" t="n">
        <f aca="false">IF('Cleaned Data'!D237="Lunch",0,1)</f>
        <v>1</v>
      </c>
      <c r="E237" s="3" t="n">
        <f aca="false">'Cleaned Data'!E237</f>
        <v>2</v>
      </c>
      <c r="F237" s="3" t="n">
        <f aca="false">'Cleaned Data'!F237</f>
        <v>10.07</v>
      </c>
      <c r="G237" s="3" t="n">
        <f aca="false">'Cleaned Data'!G237</f>
        <v>1.25</v>
      </c>
    </row>
    <row r="238" customFormat="false" ht="15" hidden="false" customHeight="false" outlineLevel="0" collapsed="false">
      <c r="A238" s="4" t="n">
        <f aca="false">IF('Cleaned Data'!A238="Female",0,1)</f>
        <v>1</v>
      </c>
      <c r="B238" s="4" t="n">
        <f aca="false">IF('Cleaned Data'!B238="No",0,1)</f>
        <v>1</v>
      </c>
      <c r="C238" s="4" t="n">
        <f aca="false">IF('Cleaned Data'!C238="Thur",1,IF('Cleaned Data'!C238="Fri",2,IF('Cleaned Data'!C238="Sat",3,4)))</f>
        <v>3</v>
      </c>
      <c r="D238" s="4" t="n">
        <f aca="false">IF('Cleaned Data'!D238="Lunch",0,1)</f>
        <v>1</v>
      </c>
      <c r="E238" s="4" t="n">
        <f aca="false">'Cleaned Data'!E238</f>
        <v>2</v>
      </c>
      <c r="F238" s="4" t="n">
        <f aca="false">'Cleaned Data'!F238</f>
        <v>12.6</v>
      </c>
      <c r="G238" s="4" t="n">
        <f aca="false">'Cleaned Data'!G238</f>
        <v>1</v>
      </c>
    </row>
    <row r="239" customFormat="false" ht="15" hidden="false" customHeight="false" outlineLevel="0" collapsed="false">
      <c r="A239" s="3" t="n">
        <f aca="false">IF('Cleaned Data'!A239="Female",0,1)</f>
        <v>1</v>
      </c>
      <c r="B239" s="3" t="n">
        <f aca="false">IF('Cleaned Data'!B239="No",0,1)</f>
        <v>1</v>
      </c>
      <c r="C239" s="3" t="n">
        <f aca="false">IF('Cleaned Data'!C239="Thur",1,IF('Cleaned Data'!C239="Fri",2,IF('Cleaned Data'!C239="Sat",3,4)))</f>
        <v>3</v>
      </c>
      <c r="D239" s="3" t="n">
        <f aca="false">IF('Cleaned Data'!D239="Lunch",0,1)</f>
        <v>1</v>
      </c>
      <c r="E239" s="3" t="n">
        <f aca="false">'Cleaned Data'!E239</f>
        <v>2</v>
      </c>
      <c r="F239" s="3" t="n">
        <f aca="false">'Cleaned Data'!F239</f>
        <v>32.83</v>
      </c>
      <c r="G239" s="3" t="n">
        <f aca="false">'Cleaned Data'!G239</f>
        <v>1.17</v>
      </c>
    </row>
    <row r="240" customFormat="false" ht="15" hidden="false" customHeight="false" outlineLevel="0" collapsed="false">
      <c r="A240" s="4" t="n">
        <f aca="false">IF('Cleaned Data'!A240="Female",0,1)</f>
        <v>0</v>
      </c>
      <c r="B240" s="4" t="n">
        <f aca="false">IF('Cleaned Data'!B240="No",0,1)</f>
        <v>0</v>
      </c>
      <c r="C240" s="4" t="n">
        <f aca="false">IF('Cleaned Data'!C240="Thur",1,IF('Cleaned Data'!C240="Fri",2,IF('Cleaned Data'!C240="Sat",3,4)))</f>
        <v>3</v>
      </c>
      <c r="D240" s="4" t="n">
        <f aca="false">IF('Cleaned Data'!D240="Lunch",0,1)</f>
        <v>1</v>
      </c>
      <c r="E240" s="4" t="n">
        <f aca="false">'Cleaned Data'!E240</f>
        <v>3</v>
      </c>
      <c r="F240" s="4" t="n">
        <f aca="false">'Cleaned Data'!F240</f>
        <v>35.83</v>
      </c>
      <c r="G240" s="4" t="n">
        <f aca="false">'Cleaned Data'!G240</f>
        <v>4.67</v>
      </c>
    </row>
    <row r="241" customFormat="false" ht="15" hidden="false" customHeight="false" outlineLevel="0" collapsed="false">
      <c r="A241" s="3" t="n">
        <f aca="false">IF('Cleaned Data'!A241="Female",0,1)</f>
        <v>1</v>
      </c>
      <c r="B241" s="3" t="n">
        <f aca="false">IF('Cleaned Data'!B241="No",0,1)</f>
        <v>0</v>
      </c>
      <c r="C241" s="3" t="n">
        <f aca="false">IF('Cleaned Data'!C241="Thur",1,IF('Cleaned Data'!C241="Fri",2,IF('Cleaned Data'!C241="Sat",3,4)))</f>
        <v>3</v>
      </c>
      <c r="D241" s="3" t="n">
        <f aca="false">IF('Cleaned Data'!D241="Lunch",0,1)</f>
        <v>1</v>
      </c>
      <c r="E241" s="3" t="n">
        <f aca="false">'Cleaned Data'!E241</f>
        <v>3</v>
      </c>
      <c r="F241" s="3" t="n">
        <f aca="false">'Cleaned Data'!F241</f>
        <v>29.03</v>
      </c>
      <c r="G241" s="3" t="n">
        <f aca="false">'Cleaned Data'!G241</f>
        <v>5.92</v>
      </c>
    </row>
    <row r="242" customFormat="false" ht="15" hidden="false" customHeight="false" outlineLevel="0" collapsed="false">
      <c r="A242" s="4" t="n">
        <f aca="false">IF('Cleaned Data'!A242="Female",0,1)</f>
        <v>0</v>
      </c>
      <c r="B242" s="4" t="n">
        <f aca="false">IF('Cleaned Data'!B242="No",0,1)</f>
        <v>1</v>
      </c>
      <c r="C242" s="4" t="n">
        <f aca="false">IF('Cleaned Data'!C242="Thur",1,IF('Cleaned Data'!C242="Fri",2,IF('Cleaned Data'!C242="Sat",3,4)))</f>
        <v>3</v>
      </c>
      <c r="D242" s="4" t="n">
        <f aca="false">IF('Cleaned Data'!D242="Lunch",0,1)</f>
        <v>1</v>
      </c>
      <c r="E242" s="4" t="n">
        <f aca="false">'Cleaned Data'!E242</f>
        <v>2</v>
      </c>
      <c r="F242" s="4" t="n">
        <f aca="false">'Cleaned Data'!F242</f>
        <v>27.18</v>
      </c>
      <c r="G242" s="4" t="n">
        <f aca="false">'Cleaned Data'!G242</f>
        <v>2</v>
      </c>
    </row>
    <row r="243" customFormat="false" ht="15" hidden="false" customHeight="false" outlineLevel="0" collapsed="false">
      <c r="A243" s="3" t="n">
        <f aca="false">IF('Cleaned Data'!A243="Female",0,1)</f>
        <v>1</v>
      </c>
      <c r="B243" s="3" t="n">
        <f aca="false">IF('Cleaned Data'!B243="No",0,1)</f>
        <v>1</v>
      </c>
      <c r="C243" s="3" t="n">
        <f aca="false">IF('Cleaned Data'!C243="Thur",1,IF('Cleaned Data'!C243="Fri",2,IF('Cleaned Data'!C243="Sat",3,4)))</f>
        <v>3</v>
      </c>
      <c r="D243" s="3" t="n">
        <f aca="false">IF('Cleaned Data'!D243="Lunch",0,1)</f>
        <v>1</v>
      </c>
      <c r="E243" s="3" t="n">
        <f aca="false">'Cleaned Data'!E243</f>
        <v>2</v>
      </c>
      <c r="F243" s="3" t="n">
        <f aca="false">'Cleaned Data'!F243</f>
        <v>22.67</v>
      </c>
      <c r="G243" s="3" t="n">
        <f aca="false">'Cleaned Data'!G243</f>
        <v>2</v>
      </c>
    </row>
    <row r="244" customFormat="false" ht="15" hidden="false" customHeight="false" outlineLevel="0" collapsed="false">
      <c r="A244" s="4" t="n">
        <f aca="false">IF('Cleaned Data'!A244="Female",0,1)</f>
        <v>1</v>
      </c>
      <c r="B244" s="4" t="n">
        <f aca="false">IF('Cleaned Data'!B244="No",0,1)</f>
        <v>0</v>
      </c>
      <c r="C244" s="4" t="n">
        <f aca="false">IF('Cleaned Data'!C244="Thur",1,IF('Cleaned Data'!C244="Fri",2,IF('Cleaned Data'!C244="Sat",3,4)))</f>
        <v>3</v>
      </c>
      <c r="D244" s="4" t="n">
        <f aca="false">IF('Cleaned Data'!D244="Lunch",0,1)</f>
        <v>1</v>
      </c>
      <c r="E244" s="4" t="n">
        <f aca="false">'Cleaned Data'!E244</f>
        <v>2</v>
      </c>
      <c r="F244" s="4" t="n">
        <f aca="false">'Cleaned Data'!F244</f>
        <v>17.82</v>
      </c>
      <c r="G244" s="4" t="n">
        <f aca="false">'Cleaned Data'!G244</f>
        <v>1.75</v>
      </c>
    </row>
    <row r="245" customFormat="false" ht="15" hidden="false" customHeight="false" outlineLevel="0" collapsed="false">
      <c r="A245" s="3" t="n">
        <f aca="false">IF('Cleaned Data'!A245="Female",0,1)</f>
        <v>0</v>
      </c>
      <c r="B245" s="3" t="n">
        <f aca="false">IF('Cleaned Data'!B245="No",0,1)</f>
        <v>0</v>
      </c>
      <c r="C245" s="3" t="n">
        <f aca="false">IF('Cleaned Data'!C245="Thur",1,IF('Cleaned Data'!C245="Fri",2,IF('Cleaned Data'!C245="Sat",3,4)))</f>
        <v>1</v>
      </c>
      <c r="D245" s="3" t="n">
        <f aca="false">IF('Cleaned Data'!D245="Lunch",0,1)</f>
        <v>1</v>
      </c>
      <c r="E245" s="3" t="n">
        <f aca="false">'Cleaned Data'!E245</f>
        <v>2</v>
      </c>
      <c r="F245" s="3" t="n">
        <f aca="false">'Cleaned Data'!F245</f>
        <v>18.78</v>
      </c>
      <c r="G245" s="3" t="n">
        <f aca="false">'Cleaned Data'!G245</f>
        <v>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4"/>
  </cols>
  <sheetData>
    <row r="1" customFormat="false" ht="27.75" hidden="false" customHeight="true" outlineLevel="0" collapsed="false">
      <c r="A1" s="1" t="s">
        <v>35</v>
      </c>
      <c r="B1" s="1"/>
      <c r="C1" s="1"/>
    </row>
    <row r="2" customFormat="false" ht="15" hidden="false" customHeight="false" outlineLevel="0" collapsed="false">
      <c r="A2" s="2" t="s">
        <v>36</v>
      </c>
      <c r="B2" s="2" t="s">
        <v>37</v>
      </c>
      <c r="C2" s="2" t="s">
        <v>38</v>
      </c>
    </row>
    <row r="3" customFormat="false" ht="15" hidden="false" customHeight="false" outlineLevel="0" collapsed="false">
      <c r="A3" s="3" t="s">
        <v>8</v>
      </c>
      <c r="B3" s="8" t="n">
        <v>244.51</v>
      </c>
      <c r="C3" s="9" t="n">
        <f aca="false">B3/B5</f>
        <v>0.335138024616903</v>
      </c>
    </row>
    <row r="4" customFormat="false" ht="15" hidden="false" customHeight="false" outlineLevel="0" collapsed="false">
      <c r="A4" s="4" t="s">
        <v>12</v>
      </c>
      <c r="B4" s="10" t="n">
        <v>485.07</v>
      </c>
      <c r="C4" s="11" t="n">
        <f aca="false">B4/B5</f>
        <v>0.664861975383097</v>
      </c>
    </row>
    <row r="5" customFormat="false" ht="15" hidden="false" customHeight="false" outlineLevel="0" collapsed="false">
      <c r="A5" s="3" t="s">
        <v>39</v>
      </c>
      <c r="B5" s="8" t="n">
        <f aca="false">SUM(B3:B4)</f>
        <v>729.58</v>
      </c>
      <c r="C5" s="3"/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4" min="2" style="0" width="14"/>
  </cols>
  <sheetData>
    <row r="1" customFormat="false" ht="27.75" hidden="false" customHeight="true" outlineLevel="0" collapsed="false">
      <c r="A1" s="1" t="s">
        <v>40</v>
      </c>
      <c r="B1" s="1"/>
      <c r="C1" s="1"/>
      <c r="D1" s="1"/>
    </row>
    <row r="2" customFormat="false" ht="15" hidden="false" customHeight="false" outlineLevel="0" collapsed="false">
      <c r="A2" s="2" t="s">
        <v>41</v>
      </c>
      <c r="B2" s="2" t="s">
        <v>8</v>
      </c>
      <c r="C2" s="2" t="s">
        <v>12</v>
      </c>
      <c r="D2" s="2" t="s">
        <v>39</v>
      </c>
    </row>
    <row r="3" customFormat="false" ht="15" hidden="false" customHeight="false" outlineLevel="0" collapsed="false">
      <c r="A3" s="3" t="s">
        <v>11</v>
      </c>
      <c r="B3" s="8" t="n">
        <v>156.11</v>
      </c>
      <c r="C3" s="8" t="n">
        <v>389.96</v>
      </c>
      <c r="D3" s="8" t="n">
        <f aca="false">B3+C3</f>
        <v>546.07</v>
      </c>
    </row>
    <row r="4" customFormat="false" ht="15" hidden="false" customHeight="false" outlineLevel="0" collapsed="false">
      <c r="A4" s="4" t="s">
        <v>16</v>
      </c>
      <c r="B4" s="10" t="n">
        <v>88.4</v>
      </c>
      <c r="C4" s="10" t="n">
        <v>95.11</v>
      </c>
      <c r="D4" s="10" t="n">
        <f aca="false">B4+C4</f>
        <v>183.51</v>
      </c>
    </row>
    <row r="5" customFormat="false" ht="15" hidden="false" customHeight="false" outlineLevel="0" collapsed="false">
      <c r="A5" s="12" t="s">
        <v>39</v>
      </c>
      <c r="B5" s="13" t="n">
        <f aca="false">SUM(B3:B4)</f>
        <v>244.51</v>
      </c>
      <c r="C5" s="13" t="n">
        <f aca="false">SUM(C3:C4)</f>
        <v>485.07</v>
      </c>
      <c r="D5" s="13" t="n">
        <f aca="false">SUM(D3:D4)</f>
        <v>729.58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2"/>
    <col collapsed="false" customWidth="true" hidden="false" outlineLevel="0" max="7" min="3" style="0" width="14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  <c r="F1" s="1"/>
      <c r="G1" s="1"/>
      <c r="H1" s="1"/>
    </row>
    <row r="2" customFormat="false" ht="26.85" hidden="false" customHeight="false" outlineLevel="0" collapsed="false">
      <c r="A2" s="14" t="s">
        <v>43</v>
      </c>
      <c r="B2" s="2" t="s">
        <v>44</v>
      </c>
      <c r="C2" s="2" t="s">
        <v>45</v>
      </c>
      <c r="D2" s="2" t="s">
        <v>46</v>
      </c>
      <c r="E2" s="2" t="s">
        <v>47</v>
      </c>
      <c r="F2" s="2" t="s">
        <v>48</v>
      </c>
      <c r="G2" s="2" t="s">
        <v>49</v>
      </c>
      <c r="H2" s="2" t="s">
        <v>50</v>
      </c>
    </row>
    <row r="3" customFormat="false" ht="15" hidden="false" customHeight="false" outlineLevel="0" collapsed="false">
      <c r="A3" s="2" t="s">
        <v>44</v>
      </c>
      <c r="B3" s="15" t="n">
        <v>1</v>
      </c>
      <c r="C3" s="16" t="n">
        <v>0.675</v>
      </c>
      <c r="D3" s="16" t="n">
        <v>0.4884</v>
      </c>
      <c r="E3" s="17" t="n">
        <v>0.0853</v>
      </c>
      <c r="F3" s="17" t="n">
        <v>0.0098</v>
      </c>
      <c r="G3" s="17" t="n">
        <v>0.1318</v>
      </c>
      <c r="H3" s="17" t="n">
        <v>0.1176</v>
      </c>
    </row>
    <row r="4" customFormat="false" ht="15" hidden="false" customHeight="false" outlineLevel="0" collapsed="false">
      <c r="A4" s="2" t="s">
        <v>45</v>
      </c>
      <c r="B4" s="16" t="n">
        <v>0.675</v>
      </c>
      <c r="C4" s="15" t="n">
        <v>1</v>
      </c>
      <c r="D4" s="16" t="n">
        <v>0.5976</v>
      </c>
      <c r="E4" s="17" t="n">
        <v>0.1413</v>
      </c>
      <c r="F4" s="17" t="n">
        <v>0.0901</v>
      </c>
      <c r="G4" s="17" t="n">
        <v>0.17</v>
      </c>
      <c r="H4" s="17" t="n">
        <v>0.1792</v>
      </c>
    </row>
    <row r="5" customFormat="false" ht="15" hidden="false" customHeight="false" outlineLevel="0" collapsed="false">
      <c r="A5" s="2" t="s">
        <v>46</v>
      </c>
      <c r="B5" s="16" t="n">
        <v>0.4884</v>
      </c>
      <c r="C5" s="16" t="n">
        <v>0.5976</v>
      </c>
      <c r="D5" s="15" t="n">
        <v>1</v>
      </c>
      <c r="E5" s="17" t="n">
        <v>0.0832</v>
      </c>
      <c r="F5" s="18" t="n">
        <v>-0.1306</v>
      </c>
      <c r="G5" s="17" t="n">
        <v>0.1625</v>
      </c>
      <c r="H5" s="17" t="n">
        <v>0.1</v>
      </c>
    </row>
    <row r="6" customFormat="false" ht="15" hidden="false" customHeight="false" outlineLevel="0" collapsed="false">
      <c r="A6" s="2" t="s">
        <v>47</v>
      </c>
      <c r="B6" s="17" t="n">
        <v>0.0853</v>
      </c>
      <c r="C6" s="17" t="n">
        <v>0.1413</v>
      </c>
      <c r="D6" s="17" t="n">
        <v>0.0832</v>
      </c>
      <c r="E6" s="15" t="n">
        <v>1</v>
      </c>
      <c r="F6" s="17" t="n">
        <v>0.0099</v>
      </c>
      <c r="G6" s="17" t="n">
        <v>0.2244</v>
      </c>
      <c r="H6" s="17" t="n">
        <v>0.1981</v>
      </c>
    </row>
    <row r="7" customFormat="false" ht="15" hidden="false" customHeight="false" outlineLevel="0" collapsed="false">
      <c r="A7" s="2" t="s">
        <v>48</v>
      </c>
      <c r="B7" s="17" t="n">
        <v>0.0098</v>
      </c>
      <c r="C7" s="17" t="n">
        <v>0.0901</v>
      </c>
      <c r="D7" s="18" t="n">
        <v>-0.1306</v>
      </c>
      <c r="E7" s="17" t="n">
        <v>0.0099</v>
      </c>
      <c r="F7" s="15" t="n">
        <v>1</v>
      </c>
      <c r="G7" s="17" t="n">
        <v>-0.025</v>
      </c>
      <c r="H7" s="17" t="n">
        <v>0.0639</v>
      </c>
    </row>
    <row r="8" customFormat="false" ht="15" hidden="false" customHeight="false" outlineLevel="0" collapsed="false">
      <c r="A8" s="2" t="s">
        <v>49</v>
      </c>
      <c r="B8" s="17" t="n">
        <v>0.1318</v>
      </c>
      <c r="C8" s="17" t="n">
        <v>0.17</v>
      </c>
      <c r="D8" s="17" t="n">
        <v>0.1625</v>
      </c>
      <c r="E8" s="17" t="n">
        <v>0.2244</v>
      </c>
      <c r="F8" s="17" t="n">
        <v>-0.025</v>
      </c>
      <c r="G8" s="15" t="n">
        <v>1</v>
      </c>
      <c r="H8" s="16" t="n">
        <v>0.8731</v>
      </c>
    </row>
    <row r="9" customFormat="false" ht="15" hidden="false" customHeight="false" outlineLevel="0" collapsed="false">
      <c r="A9" s="2" t="s">
        <v>50</v>
      </c>
      <c r="B9" s="17" t="n">
        <v>0.1176</v>
      </c>
      <c r="C9" s="17" t="n">
        <v>0.1792</v>
      </c>
      <c r="D9" s="17" t="n">
        <v>0.1</v>
      </c>
      <c r="E9" s="17" t="n">
        <v>0.1981</v>
      </c>
      <c r="F9" s="17" t="n">
        <v>0.0639</v>
      </c>
      <c r="G9" s="16" t="n">
        <v>0.8731</v>
      </c>
      <c r="H9" s="15" t="n">
        <v>1</v>
      </c>
    </row>
    <row r="12" customFormat="false" ht="21.75" hidden="false" customHeight="true" outlineLevel="0" collapsed="false">
      <c r="A12" s="19" t="s">
        <v>51</v>
      </c>
      <c r="B12" s="19"/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A13" s="2" t="s">
        <v>43</v>
      </c>
      <c r="B13" s="2" t="s">
        <v>52</v>
      </c>
      <c r="C13" s="2" t="s">
        <v>53</v>
      </c>
      <c r="D13" s="2" t="s">
        <v>54</v>
      </c>
    </row>
    <row r="14" customFormat="false" ht="15" hidden="false" customHeight="false" outlineLevel="0" collapsed="false">
      <c r="A14" s="4" t="s">
        <v>45</v>
      </c>
      <c r="B14" s="20" t="n">
        <v>0.675</v>
      </c>
      <c r="C14" s="4" t="s">
        <v>55</v>
      </c>
      <c r="D14" s="4" t="s">
        <v>56</v>
      </c>
    </row>
    <row r="15" customFormat="false" ht="15" hidden="false" customHeight="false" outlineLevel="0" collapsed="false">
      <c r="A15" s="3" t="s">
        <v>46</v>
      </c>
      <c r="B15" s="20" t="n">
        <v>0.4884</v>
      </c>
      <c r="C15" s="3" t="s">
        <v>57</v>
      </c>
      <c r="D15" s="3" t="s">
        <v>56</v>
      </c>
    </row>
    <row r="16" customFormat="false" ht="15" hidden="false" customHeight="false" outlineLevel="0" collapsed="false">
      <c r="A16" s="4" t="s">
        <v>47</v>
      </c>
      <c r="B16" s="21" t="n">
        <v>0.0853</v>
      </c>
      <c r="C16" s="4" t="s">
        <v>58</v>
      </c>
      <c r="D16" s="4" t="s">
        <v>56</v>
      </c>
    </row>
    <row r="17" customFormat="false" ht="15" hidden="false" customHeight="false" outlineLevel="0" collapsed="false">
      <c r="A17" s="3" t="s">
        <v>48</v>
      </c>
      <c r="B17" s="22" t="n">
        <v>0.0098</v>
      </c>
      <c r="C17" s="3" t="s">
        <v>58</v>
      </c>
      <c r="D17" s="3" t="s">
        <v>56</v>
      </c>
    </row>
    <row r="18" customFormat="false" ht="15" hidden="false" customHeight="false" outlineLevel="0" collapsed="false">
      <c r="A18" s="4" t="s">
        <v>49</v>
      </c>
      <c r="B18" s="21" t="n">
        <v>0.1318</v>
      </c>
      <c r="C18" s="4" t="s">
        <v>58</v>
      </c>
      <c r="D18" s="4" t="s">
        <v>56</v>
      </c>
    </row>
    <row r="19" customFormat="false" ht="15" hidden="false" customHeight="false" outlineLevel="0" collapsed="false">
      <c r="A19" s="3" t="s">
        <v>50</v>
      </c>
      <c r="B19" s="22" t="n">
        <v>0.1176</v>
      </c>
      <c r="C19" s="3" t="s">
        <v>58</v>
      </c>
      <c r="D19" s="3" t="s">
        <v>56</v>
      </c>
    </row>
  </sheetData>
  <mergeCells count="2">
    <mergeCell ref="A1:H1"/>
    <mergeCell ref="A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4" min="3" style="0" width="12"/>
    <col collapsed="false" customWidth="true" hidden="false" outlineLevel="0" max="5" min="5" style="0" width="40"/>
  </cols>
  <sheetData>
    <row r="1" customFormat="false" ht="27.75" hidden="false" customHeight="true" outlineLevel="0" collapsed="false">
      <c r="A1" s="1" t="s">
        <v>59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3" t="s">
        <v>60</v>
      </c>
      <c r="B3" s="23"/>
      <c r="C3" s="23"/>
    </row>
    <row r="4" customFormat="false" ht="15" hidden="false" customHeight="false" outlineLevel="0" collapsed="false">
      <c r="A4" s="24" t="s">
        <v>61</v>
      </c>
      <c r="B4" s="25" t="n">
        <v>243</v>
      </c>
    </row>
    <row r="5" customFormat="false" ht="15" hidden="false" customHeight="false" outlineLevel="0" collapsed="false">
      <c r="A5" s="26" t="s">
        <v>62</v>
      </c>
      <c r="B5" s="27" t="n">
        <v>6</v>
      </c>
    </row>
    <row r="6" customFormat="false" ht="15" hidden="false" customHeight="false" outlineLevel="0" collapsed="false">
      <c r="A6" s="24" t="s">
        <v>63</v>
      </c>
      <c r="B6" s="28" t="n">
        <v>0.468166</v>
      </c>
    </row>
    <row r="7" customFormat="false" ht="15" hidden="false" customHeight="false" outlineLevel="0" collapsed="false">
      <c r="A7" s="26" t="s">
        <v>64</v>
      </c>
      <c r="B7" s="29" t="n">
        <v>0.452324</v>
      </c>
    </row>
    <row r="8" customFormat="false" ht="15" hidden="false" customHeight="false" outlineLevel="0" collapsed="false">
      <c r="A8" s="24" t="s">
        <v>65</v>
      </c>
      <c r="B8" s="28" t="n">
        <v>1.008</v>
      </c>
    </row>
    <row r="11" customFormat="false" ht="15" hidden="false" customHeight="false" outlineLevel="0" collapsed="false">
      <c r="A11" s="19" t="s">
        <v>66</v>
      </c>
      <c r="B11" s="19"/>
      <c r="C11" s="19"/>
      <c r="D11" s="19"/>
      <c r="E11" s="19"/>
      <c r="F11" s="19"/>
    </row>
    <row r="12" customFormat="false" ht="15" hidden="false" customHeight="false" outlineLevel="0" collapsed="false">
      <c r="A12" s="2" t="s">
        <v>43</v>
      </c>
      <c r="B12" s="2" t="s">
        <v>67</v>
      </c>
      <c r="C12" s="2" t="s">
        <v>68</v>
      </c>
      <c r="D12" s="2" t="s">
        <v>69</v>
      </c>
      <c r="E12" s="2" t="s">
        <v>70</v>
      </c>
    </row>
    <row r="13" customFormat="false" ht="15" hidden="false" customHeight="false" outlineLevel="0" collapsed="false">
      <c r="A13" s="3" t="s">
        <v>71</v>
      </c>
      <c r="B13" s="30" t="n">
        <v>0.675081</v>
      </c>
      <c r="C13" s="30" t="n">
        <v>0.254241</v>
      </c>
      <c r="D13" s="22" t="n">
        <v>2.6553</v>
      </c>
      <c r="E13" s="3" t="s">
        <v>72</v>
      </c>
    </row>
    <row r="14" customFormat="false" ht="15" hidden="false" customHeight="false" outlineLevel="0" collapsed="false">
      <c r="A14" s="4" t="s">
        <v>45</v>
      </c>
      <c r="B14" s="31" t="n">
        <v>0.094264</v>
      </c>
      <c r="C14" s="31" t="n">
        <v>0.009561</v>
      </c>
      <c r="D14" s="21" t="n">
        <v>9.8588</v>
      </c>
      <c r="E14" s="4" t="s">
        <v>73</v>
      </c>
    </row>
    <row r="15" customFormat="false" ht="15" hidden="false" customHeight="false" outlineLevel="0" collapsed="false">
      <c r="A15" s="3" t="s">
        <v>46</v>
      </c>
      <c r="B15" s="30" t="n">
        <v>0.174964</v>
      </c>
      <c r="C15" s="30" t="n">
        <v>0.089369</v>
      </c>
      <c r="D15" s="22" t="n">
        <v>1.9578</v>
      </c>
      <c r="E15" s="3" t="s">
        <v>74</v>
      </c>
    </row>
    <row r="16" customFormat="false" ht="15" hidden="false" customHeight="false" outlineLevel="0" collapsed="false">
      <c r="A16" s="4" t="s">
        <v>47</v>
      </c>
      <c r="B16" s="31" t="n">
        <v>-0.036633</v>
      </c>
      <c r="C16" s="31" t="n">
        <v>0.141648</v>
      </c>
      <c r="D16" s="21" t="n">
        <v>-0.2586</v>
      </c>
      <c r="E16" s="4" t="s">
        <v>75</v>
      </c>
    </row>
    <row r="17" customFormat="false" ht="15" hidden="false" customHeight="false" outlineLevel="0" collapsed="false">
      <c r="A17" s="3" t="s">
        <v>48</v>
      </c>
      <c r="B17" s="30" t="n">
        <v>-0.072844</v>
      </c>
      <c r="C17" s="30" t="n">
        <v>0.141051</v>
      </c>
      <c r="D17" s="22" t="n">
        <v>-0.5164</v>
      </c>
      <c r="E17" s="3" t="s">
        <v>76</v>
      </c>
    </row>
    <row r="18" customFormat="false" ht="15" hidden="false" customHeight="false" outlineLevel="0" collapsed="false">
      <c r="A18" s="4" t="s">
        <v>49</v>
      </c>
      <c r="B18" s="31" t="n">
        <v>0.053005</v>
      </c>
      <c r="C18" s="31" t="n">
        <v>0.120583</v>
      </c>
      <c r="D18" s="21" t="n">
        <v>0.4396</v>
      </c>
      <c r="E18" s="4" t="s">
        <v>77</v>
      </c>
    </row>
    <row r="19" customFormat="false" ht="15" hidden="false" customHeight="false" outlineLevel="0" collapsed="false">
      <c r="A19" s="3" t="s">
        <v>50</v>
      </c>
      <c r="B19" s="30" t="n">
        <v>-0.116006</v>
      </c>
      <c r="C19" s="30" t="n">
        <v>0.308553</v>
      </c>
      <c r="D19" s="22" t="n">
        <v>-0.376</v>
      </c>
      <c r="E19" s="3" t="s">
        <v>78</v>
      </c>
    </row>
    <row r="21" customFormat="false" ht="19.5" hidden="false" customHeight="true" outlineLevel="0" collapsed="false">
      <c r="A21" s="23" t="s">
        <v>79</v>
      </c>
      <c r="B21" s="23"/>
      <c r="C21" s="23"/>
      <c r="D21" s="23"/>
      <c r="E21" s="23"/>
      <c r="F21" s="23"/>
    </row>
    <row r="22" customFormat="false" ht="30" hidden="false" customHeight="true" outlineLevel="0" collapsed="false">
      <c r="A22" s="32" t="s">
        <v>80</v>
      </c>
      <c r="B22" s="32"/>
      <c r="C22" s="32"/>
      <c r="D22" s="32"/>
      <c r="E22" s="32"/>
      <c r="F22" s="32"/>
    </row>
  </sheetData>
  <mergeCells count="5">
    <mergeCell ref="A1:F1"/>
    <mergeCell ref="A3:C3"/>
    <mergeCell ref="A11:F11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2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82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83</v>
      </c>
      <c r="I2" s="2" t="s">
        <v>84</v>
      </c>
      <c r="J2" s="2" t="s">
        <v>85</v>
      </c>
    </row>
    <row r="3" customFormat="false" ht="15" hidden="false" customHeight="false" outlineLevel="0" collapsed="false">
      <c r="A3" s="3" t="n">
        <v>1</v>
      </c>
      <c r="B3" s="3" t="n">
        <f aca="false">'Encoded Data'!F3</f>
        <v>16.99</v>
      </c>
      <c r="C3" s="3" t="n">
        <f aca="false">'Encoded Data'!E3</f>
        <v>2</v>
      </c>
      <c r="D3" s="3" t="n">
        <f aca="false">'Encoded Data'!A3</f>
        <v>0</v>
      </c>
      <c r="E3" s="3" t="n">
        <f aca="false">'Encoded Data'!B3</f>
        <v>0</v>
      </c>
      <c r="F3" s="3" t="n">
        <f aca="false">'Encoded Data'!C3</f>
        <v>4</v>
      </c>
      <c r="G3" s="3" t="n">
        <f aca="false">'Encoded Data'!D3</f>
        <v>1</v>
      </c>
      <c r="H3" s="8" t="n">
        <f aca="false">'Encoded Data'!G3</f>
        <v>1.01</v>
      </c>
      <c r="I3" s="8" t="n">
        <f aca="false">0.675081+0.094264*B3+0.174964*C3+-0.036633*D3+-0.072844*E3+0.053005*F3+-0.116006*G3</f>
        <v>2.72256836</v>
      </c>
      <c r="J3" s="8" t="n">
        <f aca="false">H3-I3</f>
        <v>-1.71256836</v>
      </c>
    </row>
    <row r="4" customFormat="false" ht="15" hidden="false" customHeight="false" outlineLevel="0" collapsed="false">
      <c r="A4" s="4" t="n">
        <v>2</v>
      </c>
      <c r="B4" s="4" t="n">
        <f aca="false">'Encoded Data'!F4</f>
        <v>10.34</v>
      </c>
      <c r="C4" s="4" t="n">
        <f aca="false">'Encoded Data'!E4</f>
        <v>3</v>
      </c>
      <c r="D4" s="4" t="n">
        <f aca="false">'Encoded Data'!A4</f>
        <v>1</v>
      </c>
      <c r="E4" s="4" t="n">
        <f aca="false">'Encoded Data'!B4</f>
        <v>0</v>
      </c>
      <c r="F4" s="4" t="n">
        <f aca="false">'Encoded Data'!C4</f>
        <v>4</v>
      </c>
      <c r="G4" s="4" t="n">
        <f aca="false">'Encoded Data'!D4</f>
        <v>1</v>
      </c>
      <c r="H4" s="10" t="n">
        <f aca="false">'Encoded Data'!G4</f>
        <v>1.66</v>
      </c>
      <c r="I4" s="10" t="n">
        <f aca="false">0.675081+0.094264*B4+0.174964*C4+-0.036633*D4+-0.072844*E4+0.053005*F4+-0.116006*G4</f>
        <v>2.23404376</v>
      </c>
      <c r="J4" s="10" t="n">
        <f aca="false">H4-I4</f>
        <v>-0.57404376</v>
      </c>
    </row>
    <row r="5" customFormat="false" ht="15" hidden="false" customHeight="false" outlineLevel="0" collapsed="false">
      <c r="A5" s="3" t="n">
        <v>3</v>
      </c>
      <c r="B5" s="3" t="n">
        <f aca="false">'Encoded Data'!F5</f>
        <v>21.01</v>
      </c>
      <c r="C5" s="3" t="n">
        <f aca="false">'Encoded Data'!E5</f>
        <v>3</v>
      </c>
      <c r="D5" s="3" t="n">
        <f aca="false">'Encoded Data'!A5</f>
        <v>1</v>
      </c>
      <c r="E5" s="3" t="n">
        <f aca="false">'Encoded Data'!B5</f>
        <v>0</v>
      </c>
      <c r="F5" s="3" t="n">
        <f aca="false">'Encoded Data'!C5</f>
        <v>4</v>
      </c>
      <c r="G5" s="3" t="n">
        <f aca="false">'Encoded Data'!D5</f>
        <v>1</v>
      </c>
      <c r="H5" s="8" t="n">
        <f aca="false">'Encoded Data'!G5</f>
        <v>3.5</v>
      </c>
      <c r="I5" s="8" t="n">
        <f aca="false">0.675081+0.094264*B5+0.174964*C5+-0.036633*D5+-0.072844*E5+0.053005*F5+-0.116006*G5</f>
        <v>3.23984064</v>
      </c>
      <c r="J5" s="8" t="n">
        <f aca="false">H5-I5</f>
        <v>0.26015936</v>
      </c>
    </row>
    <row r="6" customFormat="false" ht="15" hidden="false" customHeight="false" outlineLevel="0" collapsed="false">
      <c r="A6" s="4" t="n">
        <v>4</v>
      </c>
      <c r="B6" s="4" t="n">
        <f aca="false">'Encoded Data'!F6</f>
        <v>23.68</v>
      </c>
      <c r="C6" s="4" t="n">
        <f aca="false">'Encoded Data'!E6</f>
        <v>2</v>
      </c>
      <c r="D6" s="4" t="n">
        <f aca="false">'Encoded Data'!A6</f>
        <v>1</v>
      </c>
      <c r="E6" s="4" t="n">
        <f aca="false">'Encoded Data'!B6</f>
        <v>0</v>
      </c>
      <c r="F6" s="4" t="n">
        <f aca="false">'Encoded Data'!C6</f>
        <v>4</v>
      </c>
      <c r="G6" s="4" t="n">
        <f aca="false">'Encoded Data'!D6</f>
        <v>1</v>
      </c>
      <c r="H6" s="10" t="n">
        <f aca="false">'Encoded Data'!G6</f>
        <v>3.31</v>
      </c>
      <c r="I6" s="10" t="n">
        <f aca="false">0.675081+0.094264*B6+0.174964*C6+-0.036633*D6+-0.072844*E6+0.053005*F6+-0.116006*G6</f>
        <v>3.31656152</v>
      </c>
      <c r="J6" s="10" t="n">
        <f aca="false">H6-I6</f>
        <v>-0.00656151999999999</v>
      </c>
    </row>
    <row r="7" customFormat="false" ht="15" hidden="false" customHeight="false" outlineLevel="0" collapsed="false">
      <c r="A7" s="3" t="n">
        <v>5</v>
      </c>
      <c r="B7" s="3" t="n">
        <f aca="false">'Encoded Data'!F7</f>
        <v>24.59</v>
      </c>
      <c r="C7" s="3" t="n">
        <f aca="false">'Encoded Data'!E7</f>
        <v>4</v>
      </c>
      <c r="D7" s="3" t="n">
        <f aca="false">'Encoded Data'!A7</f>
        <v>0</v>
      </c>
      <c r="E7" s="3" t="n">
        <f aca="false">'Encoded Data'!B7</f>
        <v>0</v>
      </c>
      <c r="F7" s="3" t="n">
        <f aca="false">'Encoded Data'!C7</f>
        <v>4</v>
      </c>
      <c r="G7" s="3" t="n">
        <f aca="false">'Encoded Data'!D7</f>
        <v>1</v>
      </c>
      <c r="H7" s="8" t="n">
        <f aca="false">'Encoded Data'!G7</f>
        <v>3.61</v>
      </c>
      <c r="I7" s="8" t="n">
        <f aca="false">0.675081+0.094264*B7+0.174964*C7+-0.036633*D7+-0.072844*E7+0.053005*F7+-0.116006*G7</f>
        <v>3.78890276</v>
      </c>
      <c r="J7" s="8" t="n">
        <f aca="false">H7-I7</f>
        <v>-0.17890276</v>
      </c>
    </row>
    <row r="8" customFormat="false" ht="15" hidden="false" customHeight="false" outlineLevel="0" collapsed="false">
      <c r="A8" s="4" t="n">
        <v>6</v>
      </c>
      <c r="B8" s="4" t="n">
        <f aca="false">'Encoded Data'!F8</f>
        <v>25.29</v>
      </c>
      <c r="C8" s="4" t="n">
        <f aca="false">'Encoded Data'!E8</f>
        <v>4</v>
      </c>
      <c r="D8" s="4" t="n">
        <f aca="false">'Encoded Data'!A8</f>
        <v>1</v>
      </c>
      <c r="E8" s="4" t="n">
        <f aca="false">'Encoded Data'!B8</f>
        <v>0</v>
      </c>
      <c r="F8" s="4" t="n">
        <f aca="false">'Encoded Data'!C8</f>
        <v>4</v>
      </c>
      <c r="G8" s="4" t="n">
        <f aca="false">'Encoded Data'!D8</f>
        <v>1</v>
      </c>
      <c r="H8" s="10" t="n">
        <f aca="false">'Encoded Data'!G8</f>
        <v>4.71</v>
      </c>
      <c r="I8" s="10" t="n">
        <f aca="false">0.675081+0.094264*B8+0.174964*C8+-0.036633*D8+-0.072844*E8+0.053005*F8+-0.116006*G8</f>
        <v>3.81825456</v>
      </c>
      <c r="J8" s="10" t="n">
        <f aca="false">H8-I8</f>
        <v>0.89174544</v>
      </c>
    </row>
    <row r="9" customFormat="false" ht="15" hidden="false" customHeight="false" outlineLevel="0" collapsed="false">
      <c r="A9" s="3" t="n">
        <v>7</v>
      </c>
      <c r="B9" s="3" t="n">
        <f aca="false">'Encoded Data'!F9</f>
        <v>8.77</v>
      </c>
      <c r="C9" s="3" t="n">
        <f aca="false">'Encoded Data'!E9</f>
        <v>2</v>
      </c>
      <c r="D9" s="3" t="n">
        <f aca="false">'Encoded Data'!A9</f>
        <v>1</v>
      </c>
      <c r="E9" s="3" t="n">
        <f aca="false">'Encoded Data'!B9</f>
        <v>0</v>
      </c>
      <c r="F9" s="3" t="n">
        <f aca="false">'Encoded Data'!C9</f>
        <v>4</v>
      </c>
      <c r="G9" s="3" t="n">
        <f aca="false">'Encoded Data'!D9</f>
        <v>1</v>
      </c>
      <c r="H9" s="8" t="n">
        <f aca="false">'Encoded Data'!G9</f>
        <v>2</v>
      </c>
      <c r="I9" s="8" t="n">
        <f aca="false">0.675081+0.094264*B9+0.174964*C9+-0.036633*D9+-0.072844*E9+0.053005*F9+-0.116006*G9</f>
        <v>1.91108528</v>
      </c>
      <c r="J9" s="8" t="n">
        <f aca="false">H9-I9</f>
        <v>0.08891472</v>
      </c>
    </row>
    <row r="10" customFormat="false" ht="15" hidden="false" customHeight="false" outlineLevel="0" collapsed="false">
      <c r="A10" s="4" t="n">
        <v>8</v>
      </c>
      <c r="B10" s="4" t="n">
        <f aca="false">'Encoded Data'!F10</f>
        <v>26.88</v>
      </c>
      <c r="C10" s="4" t="n">
        <f aca="false">'Encoded Data'!E10</f>
        <v>4</v>
      </c>
      <c r="D10" s="4" t="n">
        <f aca="false">'Encoded Data'!A10</f>
        <v>1</v>
      </c>
      <c r="E10" s="4" t="n">
        <f aca="false">'Encoded Data'!B10</f>
        <v>0</v>
      </c>
      <c r="F10" s="4" t="n">
        <f aca="false">'Encoded Data'!C10</f>
        <v>4</v>
      </c>
      <c r="G10" s="4" t="n">
        <f aca="false">'Encoded Data'!D10</f>
        <v>1</v>
      </c>
      <c r="H10" s="10" t="n">
        <f aca="false">'Encoded Data'!G10</f>
        <v>3.12</v>
      </c>
      <c r="I10" s="10" t="n">
        <f aca="false">0.675081+0.094264*B10+0.174964*C10+-0.036633*D10+-0.072844*E10+0.053005*F10+-0.116006*G10</f>
        <v>3.96813432</v>
      </c>
      <c r="J10" s="10" t="n">
        <f aca="false">H10-I10</f>
        <v>-0.84813432</v>
      </c>
    </row>
    <row r="11" customFormat="false" ht="15" hidden="false" customHeight="false" outlineLevel="0" collapsed="false">
      <c r="A11" s="3" t="n">
        <v>9</v>
      </c>
      <c r="B11" s="3" t="n">
        <f aca="false">'Encoded Data'!F11</f>
        <v>15.04</v>
      </c>
      <c r="C11" s="3" t="n">
        <f aca="false">'Encoded Data'!E11</f>
        <v>2</v>
      </c>
      <c r="D11" s="3" t="n">
        <f aca="false">'Encoded Data'!A11</f>
        <v>1</v>
      </c>
      <c r="E11" s="3" t="n">
        <f aca="false">'Encoded Data'!B11</f>
        <v>0</v>
      </c>
      <c r="F11" s="3" t="n">
        <f aca="false">'Encoded Data'!C11</f>
        <v>4</v>
      </c>
      <c r="G11" s="3" t="n">
        <f aca="false">'Encoded Data'!D11</f>
        <v>1</v>
      </c>
      <c r="H11" s="8" t="n">
        <f aca="false">'Encoded Data'!G11</f>
        <v>1.96</v>
      </c>
      <c r="I11" s="8" t="n">
        <f aca="false">0.675081+0.094264*B11+0.174964*C11+-0.036633*D11+-0.072844*E11+0.053005*F11+-0.116006*G11</f>
        <v>2.50212056</v>
      </c>
      <c r="J11" s="8" t="n">
        <f aca="false">H11-I11</f>
        <v>-0.542120559999999</v>
      </c>
    </row>
    <row r="12" customFormat="false" ht="15" hidden="false" customHeight="false" outlineLevel="0" collapsed="false">
      <c r="A12" s="4" t="n">
        <v>10</v>
      </c>
      <c r="B12" s="4" t="n">
        <f aca="false">'Encoded Data'!F12</f>
        <v>14.78</v>
      </c>
      <c r="C12" s="4" t="n">
        <f aca="false">'Encoded Data'!E12</f>
        <v>2</v>
      </c>
      <c r="D12" s="4" t="n">
        <f aca="false">'Encoded Data'!A12</f>
        <v>1</v>
      </c>
      <c r="E12" s="4" t="n">
        <f aca="false">'Encoded Data'!B12</f>
        <v>0</v>
      </c>
      <c r="F12" s="4" t="n">
        <f aca="false">'Encoded Data'!C12</f>
        <v>4</v>
      </c>
      <c r="G12" s="4" t="n">
        <f aca="false">'Encoded Data'!D12</f>
        <v>1</v>
      </c>
      <c r="H12" s="10" t="n">
        <f aca="false">'Encoded Data'!G12</f>
        <v>3.23</v>
      </c>
      <c r="I12" s="10" t="n">
        <f aca="false">0.675081+0.094264*B12+0.174964*C12+-0.036633*D12+-0.072844*E12+0.053005*F12+-0.116006*G12</f>
        <v>2.47761192</v>
      </c>
      <c r="J12" s="10" t="n">
        <f aca="false">H12-I12</f>
        <v>0.75238808</v>
      </c>
    </row>
    <row r="13" customFormat="false" ht="15" hidden="false" customHeight="false" outlineLevel="0" collapsed="false">
      <c r="A13" s="3" t="n">
        <v>11</v>
      </c>
      <c r="B13" s="3" t="n">
        <f aca="false">'Encoded Data'!F13</f>
        <v>10.27</v>
      </c>
      <c r="C13" s="3" t="n">
        <f aca="false">'Encoded Data'!E13</f>
        <v>2</v>
      </c>
      <c r="D13" s="3" t="n">
        <f aca="false">'Encoded Data'!A13</f>
        <v>1</v>
      </c>
      <c r="E13" s="3" t="n">
        <f aca="false">'Encoded Data'!B13</f>
        <v>0</v>
      </c>
      <c r="F13" s="3" t="n">
        <f aca="false">'Encoded Data'!C13</f>
        <v>4</v>
      </c>
      <c r="G13" s="3" t="n">
        <f aca="false">'Encoded Data'!D13</f>
        <v>1</v>
      </c>
      <c r="H13" s="8" t="n">
        <f aca="false">'Encoded Data'!G13</f>
        <v>1.71</v>
      </c>
      <c r="I13" s="8" t="n">
        <f aca="false">0.675081+0.094264*B13+0.174964*C13+-0.036633*D13+-0.072844*E13+0.053005*F13+-0.116006*G13</f>
        <v>2.05248128</v>
      </c>
      <c r="J13" s="8" t="n">
        <f aca="false">H13-I13</f>
        <v>-0.34248128</v>
      </c>
    </row>
    <row r="14" customFormat="false" ht="15" hidden="false" customHeight="false" outlineLevel="0" collapsed="false">
      <c r="A14" s="4" t="n">
        <v>12</v>
      </c>
      <c r="B14" s="4" t="n">
        <f aca="false">'Encoded Data'!F14</f>
        <v>35.26</v>
      </c>
      <c r="C14" s="4" t="n">
        <f aca="false">'Encoded Data'!E14</f>
        <v>4</v>
      </c>
      <c r="D14" s="4" t="n">
        <f aca="false">'Encoded Data'!A14</f>
        <v>0</v>
      </c>
      <c r="E14" s="4" t="n">
        <f aca="false">'Encoded Data'!B14</f>
        <v>0</v>
      </c>
      <c r="F14" s="4" t="n">
        <f aca="false">'Encoded Data'!C14</f>
        <v>4</v>
      </c>
      <c r="G14" s="4" t="n">
        <f aca="false">'Encoded Data'!D14</f>
        <v>1</v>
      </c>
      <c r="H14" s="10" t="n">
        <f aca="false">'Encoded Data'!G14</f>
        <v>5</v>
      </c>
      <c r="I14" s="10" t="n">
        <f aca="false">0.675081+0.094264*B14+0.174964*C14+-0.036633*D14+-0.072844*E14+0.053005*F14+-0.116006*G14</f>
        <v>4.79469964</v>
      </c>
      <c r="J14" s="10" t="n">
        <f aca="false">H14-I14</f>
        <v>0.20530036</v>
      </c>
    </row>
    <row r="15" customFormat="false" ht="15" hidden="false" customHeight="false" outlineLevel="0" collapsed="false">
      <c r="A15" s="3" t="n">
        <v>13</v>
      </c>
      <c r="B15" s="3" t="n">
        <f aca="false">'Encoded Data'!F15</f>
        <v>15.42</v>
      </c>
      <c r="C15" s="3" t="n">
        <f aca="false">'Encoded Data'!E15</f>
        <v>2</v>
      </c>
      <c r="D15" s="3" t="n">
        <f aca="false">'Encoded Data'!A15</f>
        <v>1</v>
      </c>
      <c r="E15" s="3" t="n">
        <f aca="false">'Encoded Data'!B15</f>
        <v>0</v>
      </c>
      <c r="F15" s="3" t="n">
        <f aca="false">'Encoded Data'!C15</f>
        <v>4</v>
      </c>
      <c r="G15" s="3" t="n">
        <f aca="false">'Encoded Data'!D15</f>
        <v>1</v>
      </c>
      <c r="H15" s="8" t="n">
        <f aca="false">'Encoded Data'!G15</f>
        <v>1.57</v>
      </c>
      <c r="I15" s="8" t="n">
        <f aca="false">0.675081+0.094264*B15+0.174964*C15+-0.036633*D15+-0.072844*E15+0.053005*F15+-0.116006*G15</f>
        <v>2.53794088</v>
      </c>
      <c r="J15" s="8" t="n">
        <f aca="false">H15-I15</f>
        <v>-0.96794088</v>
      </c>
    </row>
    <row r="16" customFormat="false" ht="15" hidden="false" customHeight="false" outlineLevel="0" collapsed="false">
      <c r="A16" s="4" t="n">
        <v>14</v>
      </c>
      <c r="B16" s="4" t="n">
        <f aca="false">'Encoded Data'!F16</f>
        <v>18.43</v>
      </c>
      <c r="C16" s="4" t="n">
        <f aca="false">'Encoded Data'!E16</f>
        <v>4</v>
      </c>
      <c r="D16" s="4" t="n">
        <f aca="false">'Encoded Data'!A16</f>
        <v>1</v>
      </c>
      <c r="E16" s="4" t="n">
        <f aca="false">'Encoded Data'!B16</f>
        <v>0</v>
      </c>
      <c r="F16" s="4" t="n">
        <f aca="false">'Encoded Data'!C16</f>
        <v>4</v>
      </c>
      <c r="G16" s="4" t="n">
        <f aca="false">'Encoded Data'!D16</f>
        <v>1</v>
      </c>
      <c r="H16" s="10" t="n">
        <f aca="false">'Encoded Data'!G16</f>
        <v>3</v>
      </c>
      <c r="I16" s="10" t="n">
        <f aca="false">0.675081+0.094264*B16+0.174964*C16+-0.036633*D16+-0.072844*E16+0.053005*F16+-0.116006*G16</f>
        <v>3.17160352</v>
      </c>
      <c r="J16" s="10" t="n">
        <f aca="false">H16-I16</f>
        <v>-0.17160352</v>
      </c>
    </row>
    <row r="17" customFormat="false" ht="15" hidden="false" customHeight="false" outlineLevel="0" collapsed="false">
      <c r="A17" s="3" t="n">
        <v>15</v>
      </c>
      <c r="B17" s="3" t="n">
        <f aca="false">'Encoded Data'!F17</f>
        <v>14.83</v>
      </c>
      <c r="C17" s="3" t="n">
        <f aca="false">'Encoded Data'!E17</f>
        <v>2</v>
      </c>
      <c r="D17" s="3" t="n">
        <f aca="false">'Encoded Data'!A17</f>
        <v>0</v>
      </c>
      <c r="E17" s="3" t="n">
        <f aca="false">'Encoded Data'!B17</f>
        <v>0</v>
      </c>
      <c r="F17" s="3" t="n">
        <f aca="false">'Encoded Data'!C17</f>
        <v>4</v>
      </c>
      <c r="G17" s="3" t="n">
        <f aca="false">'Encoded Data'!D17</f>
        <v>1</v>
      </c>
      <c r="H17" s="8" t="n">
        <f aca="false">'Encoded Data'!G17</f>
        <v>3.02</v>
      </c>
      <c r="I17" s="8" t="n">
        <f aca="false">0.675081+0.094264*B17+0.174964*C17+-0.036633*D17+-0.072844*E17+0.053005*F17+-0.116006*G17</f>
        <v>2.51895812</v>
      </c>
      <c r="J17" s="8" t="n">
        <f aca="false">H17-I17</f>
        <v>0.50104188</v>
      </c>
    </row>
    <row r="18" customFormat="false" ht="15" hidden="false" customHeight="false" outlineLevel="0" collapsed="false">
      <c r="A18" s="4" t="n">
        <v>16</v>
      </c>
      <c r="B18" s="4" t="n">
        <f aca="false">'Encoded Data'!F18</f>
        <v>21.58</v>
      </c>
      <c r="C18" s="4" t="n">
        <f aca="false">'Encoded Data'!E18</f>
        <v>2</v>
      </c>
      <c r="D18" s="4" t="n">
        <f aca="false">'Encoded Data'!A18</f>
        <v>1</v>
      </c>
      <c r="E18" s="4" t="n">
        <f aca="false">'Encoded Data'!B18</f>
        <v>0</v>
      </c>
      <c r="F18" s="4" t="n">
        <f aca="false">'Encoded Data'!C18</f>
        <v>4</v>
      </c>
      <c r="G18" s="4" t="n">
        <f aca="false">'Encoded Data'!D18</f>
        <v>1</v>
      </c>
      <c r="H18" s="10" t="n">
        <f aca="false">'Encoded Data'!G18</f>
        <v>3.92</v>
      </c>
      <c r="I18" s="10" t="n">
        <f aca="false">0.675081+0.094264*B18+0.174964*C18+-0.036633*D18+-0.072844*E18+0.053005*F18+-0.116006*G18</f>
        <v>3.11860712</v>
      </c>
      <c r="J18" s="10" t="n">
        <f aca="false">H18-I18</f>
        <v>0.80139288</v>
      </c>
    </row>
    <row r="19" customFormat="false" ht="15" hidden="false" customHeight="false" outlineLevel="0" collapsed="false">
      <c r="A19" s="3" t="n">
        <v>17</v>
      </c>
      <c r="B19" s="3" t="n">
        <f aca="false">'Encoded Data'!F19</f>
        <v>10.33</v>
      </c>
      <c r="C19" s="3" t="n">
        <f aca="false">'Encoded Data'!E19</f>
        <v>3</v>
      </c>
      <c r="D19" s="3" t="n">
        <f aca="false">'Encoded Data'!A19</f>
        <v>0</v>
      </c>
      <c r="E19" s="3" t="n">
        <f aca="false">'Encoded Data'!B19</f>
        <v>0</v>
      </c>
      <c r="F19" s="3" t="n">
        <f aca="false">'Encoded Data'!C19</f>
        <v>4</v>
      </c>
      <c r="G19" s="3" t="n">
        <f aca="false">'Encoded Data'!D19</f>
        <v>1</v>
      </c>
      <c r="H19" s="8" t="n">
        <f aca="false">'Encoded Data'!G19</f>
        <v>1.67</v>
      </c>
      <c r="I19" s="8" t="n">
        <f aca="false">0.675081+0.094264*B19+0.174964*C19+-0.036633*D19+-0.072844*E19+0.053005*F19+-0.116006*G19</f>
        <v>2.26973412</v>
      </c>
      <c r="J19" s="8" t="n">
        <f aca="false">H19-I19</f>
        <v>-0.59973412</v>
      </c>
    </row>
    <row r="20" customFormat="false" ht="15" hidden="false" customHeight="false" outlineLevel="0" collapsed="false">
      <c r="A20" s="4" t="n">
        <v>18</v>
      </c>
      <c r="B20" s="4" t="n">
        <f aca="false">'Encoded Data'!F20</f>
        <v>16.29</v>
      </c>
      <c r="C20" s="4" t="n">
        <f aca="false">'Encoded Data'!E20</f>
        <v>3</v>
      </c>
      <c r="D20" s="4" t="n">
        <f aca="false">'Encoded Data'!A20</f>
        <v>1</v>
      </c>
      <c r="E20" s="4" t="n">
        <f aca="false">'Encoded Data'!B20</f>
        <v>0</v>
      </c>
      <c r="F20" s="4" t="n">
        <f aca="false">'Encoded Data'!C20</f>
        <v>4</v>
      </c>
      <c r="G20" s="4" t="n">
        <f aca="false">'Encoded Data'!D20</f>
        <v>1</v>
      </c>
      <c r="H20" s="10" t="n">
        <f aca="false">'Encoded Data'!G20</f>
        <v>3.71</v>
      </c>
      <c r="I20" s="10" t="n">
        <f aca="false">0.675081+0.094264*B20+0.174964*C20+-0.036633*D20+-0.072844*E20+0.053005*F20+-0.116006*G20</f>
        <v>2.79491456</v>
      </c>
      <c r="J20" s="10" t="n">
        <f aca="false">H20-I20</f>
        <v>0.91508544</v>
      </c>
    </row>
    <row r="21" customFormat="false" ht="15" hidden="false" customHeight="false" outlineLevel="0" collapsed="false">
      <c r="A21" s="3" t="n">
        <v>19</v>
      </c>
      <c r="B21" s="3" t="n">
        <f aca="false">'Encoded Data'!F21</f>
        <v>16.97</v>
      </c>
      <c r="C21" s="3" t="n">
        <f aca="false">'Encoded Data'!E21</f>
        <v>3</v>
      </c>
      <c r="D21" s="3" t="n">
        <f aca="false">'Encoded Data'!A21</f>
        <v>0</v>
      </c>
      <c r="E21" s="3" t="n">
        <f aca="false">'Encoded Data'!B21</f>
        <v>0</v>
      </c>
      <c r="F21" s="3" t="n">
        <f aca="false">'Encoded Data'!C21</f>
        <v>4</v>
      </c>
      <c r="G21" s="3" t="n">
        <f aca="false">'Encoded Data'!D21</f>
        <v>1</v>
      </c>
      <c r="H21" s="8" t="n">
        <f aca="false">'Encoded Data'!G21</f>
        <v>3.5</v>
      </c>
      <c r="I21" s="8" t="n">
        <f aca="false">0.675081+0.094264*B21+0.174964*C21+-0.036633*D21+-0.072844*E21+0.053005*F21+-0.116006*G21</f>
        <v>2.89564708</v>
      </c>
      <c r="J21" s="8" t="n">
        <f aca="false">H21-I21</f>
        <v>0.60435292</v>
      </c>
    </row>
    <row r="22" customFormat="false" ht="15" hidden="false" customHeight="false" outlineLevel="0" collapsed="false">
      <c r="A22" s="4" t="n">
        <v>20</v>
      </c>
      <c r="B22" s="4" t="n">
        <f aca="false">'Encoded Data'!F22</f>
        <v>20.65</v>
      </c>
      <c r="C22" s="4" t="n">
        <f aca="false">'Encoded Data'!E22</f>
        <v>3</v>
      </c>
      <c r="D22" s="4" t="n">
        <f aca="false">'Encoded Data'!A22</f>
        <v>1</v>
      </c>
      <c r="E22" s="4" t="n">
        <f aca="false">'Encoded Data'!B22</f>
        <v>0</v>
      </c>
      <c r="F22" s="4" t="n">
        <f aca="false">'Encoded Data'!C22</f>
        <v>3</v>
      </c>
      <c r="G22" s="4" t="n">
        <f aca="false">'Encoded Data'!D22</f>
        <v>1</v>
      </c>
      <c r="H22" s="10" t="n">
        <f aca="false">'Encoded Data'!G22</f>
        <v>3.35</v>
      </c>
      <c r="I22" s="10" t="n">
        <f aca="false">0.675081+0.094264*B22+0.174964*C22+-0.036633*D22+-0.072844*E22+0.053005*F22+-0.116006*G22</f>
        <v>3.1529006</v>
      </c>
      <c r="J22" s="10" t="n">
        <f aca="false">H22-I22</f>
        <v>0.1970994</v>
      </c>
    </row>
    <row r="23" customFormat="false" ht="15" hidden="false" customHeight="false" outlineLevel="0" collapsed="false">
      <c r="A23" s="3" t="n">
        <v>21</v>
      </c>
      <c r="B23" s="3" t="n">
        <f aca="false">'Encoded Data'!F23</f>
        <v>17.92</v>
      </c>
      <c r="C23" s="3" t="n">
        <f aca="false">'Encoded Data'!E23</f>
        <v>2</v>
      </c>
      <c r="D23" s="3" t="n">
        <f aca="false">'Encoded Data'!A23</f>
        <v>1</v>
      </c>
      <c r="E23" s="3" t="n">
        <f aca="false">'Encoded Data'!B23</f>
        <v>0</v>
      </c>
      <c r="F23" s="3" t="n">
        <f aca="false">'Encoded Data'!C23</f>
        <v>3</v>
      </c>
      <c r="G23" s="3" t="n">
        <f aca="false">'Encoded Data'!D23</f>
        <v>1</v>
      </c>
      <c r="H23" s="8" t="n">
        <f aca="false">'Encoded Data'!G23</f>
        <v>4.08</v>
      </c>
      <c r="I23" s="8" t="n">
        <f aca="false">0.675081+0.094264*B23+0.174964*C23+-0.036633*D23+-0.072844*E23+0.053005*F23+-0.116006*G23</f>
        <v>2.72059588</v>
      </c>
      <c r="J23" s="8" t="n">
        <f aca="false">H23-I23</f>
        <v>1.35940412</v>
      </c>
    </row>
    <row r="24" customFormat="false" ht="15" hidden="false" customHeight="false" outlineLevel="0" collapsed="false">
      <c r="A24" s="4" t="n">
        <v>22</v>
      </c>
      <c r="B24" s="4" t="n">
        <f aca="false">'Encoded Data'!F24</f>
        <v>20.29</v>
      </c>
      <c r="C24" s="4" t="n">
        <f aca="false">'Encoded Data'!E24</f>
        <v>2</v>
      </c>
      <c r="D24" s="4" t="n">
        <f aca="false">'Encoded Data'!A24</f>
        <v>0</v>
      </c>
      <c r="E24" s="4" t="n">
        <f aca="false">'Encoded Data'!B24</f>
        <v>0</v>
      </c>
      <c r="F24" s="4" t="n">
        <f aca="false">'Encoded Data'!C24</f>
        <v>3</v>
      </c>
      <c r="G24" s="4" t="n">
        <f aca="false">'Encoded Data'!D24</f>
        <v>1</v>
      </c>
      <c r="H24" s="10" t="n">
        <f aca="false">'Encoded Data'!G24</f>
        <v>2.75</v>
      </c>
      <c r="I24" s="10" t="n">
        <f aca="false">0.675081+0.094264*B24+0.174964*C24+-0.036633*D24+-0.072844*E24+0.053005*F24+-0.116006*G24</f>
        <v>2.98063456</v>
      </c>
      <c r="J24" s="10" t="n">
        <f aca="false">H24-I24</f>
        <v>-0.23063456</v>
      </c>
    </row>
    <row r="25" customFormat="false" ht="15" hidden="false" customHeight="false" outlineLevel="0" collapsed="false">
      <c r="A25" s="3" t="n">
        <v>23</v>
      </c>
      <c r="B25" s="3" t="n">
        <f aca="false">'Encoded Data'!F25</f>
        <v>15.77</v>
      </c>
      <c r="C25" s="3" t="n">
        <f aca="false">'Encoded Data'!E25</f>
        <v>2</v>
      </c>
      <c r="D25" s="3" t="n">
        <f aca="false">'Encoded Data'!A25</f>
        <v>0</v>
      </c>
      <c r="E25" s="3" t="n">
        <f aca="false">'Encoded Data'!B25</f>
        <v>0</v>
      </c>
      <c r="F25" s="3" t="n">
        <f aca="false">'Encoded Data'!C25</f>
        <v>3</v>
      </c>
      <c r="G25" s="3" t="n">
        <f aca="false">'Encoded Data'!D25</f>
        <v>1</v>
      </c>
      <c r="H25" s="8" t="n">
        <f aca="false">'Encoded Data'!G25</f>
        <v>2.23</v>
      </c>
      <c r="I25" s="8" t="n">
        <f aca="false">0.675081+0.094264*B25+0.174964*C25+-0.036633*D25+-0.072844*E25+0.053005*F25+-0.116006*G25</f>
        <v>2.55456128</v>
      </c>
      <c r="J25" s="8" t="n">
        <f aca="false">H25-I25</f>
        <v>-0.32456128</v>
      </c>
    </row>
    <row r="26" customFormat="false" ht="15" hidden="false" customHeight="false" outlineLevel="0" collapsed="false">
      <c r="A26" s="4" t="n">
        <v>24</v>
      </c>
      <c r="B26" s="4" t="n">
        <f aca="false">'Encoded Data'!F26</f>
        <v>39.42</v>
      </c>
      <c r="C26" s="4" t="n">
        <f aca="false">'Encoded Data'!E26</f>
        <v>4</v>
      </c>
      <c r="D26" s="4" t="n">
        <f aca="false">'Encoded Data'!A26</f>
        <v>1</v>
      </c>
      <c r="E26" s="4" t="n">
        <f aca="false">'Encoded Data'!B26</f>
        <v>0</v>
      </c>
      <c r="F26" s="4" t="n">
        <f aca="false">'Encoded Data'!C26</f>
        <v>3</v>
      </c>
      <c r="G26" s="4" t="n">
        <f aca="false">'Encoded Data'!D26</f>
        <v>1</v>
      </c>
      <c r="H26" s="10" t="n">
        <f aca="false">'Encoded Data'!G26</f>
        <v>7.58</v>
      </c>
      <c r="I26" s="10" t="n">
        <f aca="false">0.675081+0.094264*B26+0.174964*C26+-0.036633*D26+-0.072844*E26+0.053005*F26+-0.116006*G26</f>
        <v>5.09719988</v>
      </c>
      <c r="J26" s="10" t="n">
        <f aca="false">H26-I26</f>
        <v>2.48280012</v>
      </c>
    </row>
    <row r="27" customFormat="false" ht="15" hidden="false" customHeight="false" outlineLevel="0" collapsed="false">
      <c r="A27" s="3" t="n">
        <v>25</v>
      </c>
      <c r="B27" s="3" t="n">
        <f aca="false">'Encoded Data'!F27</f>
        <v>19.82</v>
      </c>
      <c r="C27" s="3" t="n">
        <f aca="false">'Encoded Data'!E27</f>
        <v>2</v>
      </c>
      <c r="D27" s="3" t="n">
        <f aca="false">'Encoded Data'!A27</f>
        <v>1</v>
      </c>
      <c r="E27" s="3" t="n">
        <f aca="false">'Encoded Data'!B27</f>
        <v>0</v>
      </c>
      <c r="F27" s="3" t="n">
        <f aca="false">'Encoded Data'!C27</f>
        <v>3</v>
      </c>
      <c r="G27" s="3" t="n">
        <f aca="false">'Encoded Data'!D27</f>
        <v>1</v>
      </c>
      <c r="H27" s="8" t="n">
        <f aca="false">'Encoded Data'!G27</f>
        <v>3.18</v>
      </c>
      <c r="I27" s="8" t="n">
        <f aca="false">0.675081+0.094264*B27+0.174964*C27+-0.036633*D27+-0.072844*E27+0.053005*F27+-0.116006*G27</f>
        <v>2.89969748</v>
      </c>
      <c r="J27" s="8" t="n">
        <f aca="false">H27-I27</f>
        <v>0.28030252</v>
      </c>
    </row>
    <row r="28" customFormat="false" ht="15" hidden="false" customHeight="false" outlineLevel="0" collapsed="false">
      <c r="A28" s="4" t="n">
        <v>26</v>
      </c>
      <c r="B28" s="4" t="n">
        <f aca="false">'Encoded Data'!F28</f>
        <v>17.81</v>
      </c>
      <c r="C28" s="4" t="n">
        <f aca="false">'Encoded Data'!E28</f>
        <v>4</v>
      </c>
      <c r="D28" s="4" t="n">
        <f aca="false">'Encoded Data'!A28</f>
        <v>1</v>
      </c>
      <c r="E28" s="4" t="n">
        <f aca="false">'Encoded Data'!B28</f>
        <v>0</v>
      </c>
      <c r="F28" s="4" t="n">
        <f aca="false">'Encoded Data'!C28</f>
        <v>3</v>
      </c>
      <c r="G28" s="4" t="n">
        <f aca="false">'Encoded Data'!D28</f>
        <v>1</v>
      </c>
      <c r="H28" s="10" t="n">
        <f aca="false">'Encoded Data'!G28</f>
        <v>2.34</v>
      </c>
      <c r="I28" s="10" t="n">
        <f aca="false">0.675081+0.094264*B28+0.174964*C28+-0.036633*D28+-0.072844*E28+0.053005*F28+-0.116006*G28</f>
        <v>3.06015484</v>
      </c>
      <c r="J28" s="10" t="n">
        <f aca="false">H28-I28</f>
        <v>-0.72015484</v>
      </c>
    </row>
    <row r="29" customFormat="false" ht="15" hidden="false" customHeight="false" outlineLevel="0" collapsed="false">
      <c r="A29" s="3" t="n">
        <v>27</v>
      </c>
      <c r="B29" s="3" t="n">
        <f aca="false">'Encoded Data'!F29</f>
        <v>13.37</v>
      </c>
      <c r="C29" s="3" t="n">
        <f aca="false">'Encoded Data'!E29</f>
        <v>2</v>
      </c>
      <c r="D29" s="3" t="n">
        <f aca="false">'Encoded Data'!A29</f>
        <v>1</v>
      </c>
      <c r="E29" s="3" t="n">
        <f aca="false">'Encoded Data'!B29</f>
        <v>0</v>
      </c>
      <c r="F29" s="3" t="n">
        <f aca="false">'Encoded Data'!C29</f>
        <v>3</v>
      </c>
      <c r="G29" s="3" t="n">
        <f aca="false">'Encoded Data'!D29</f>
        <v>1</v>
      </c>
      <c r="H29" s="8" t="n">
        <f aca="false">'Encoded Data'!G29</f>
        <v>2</v>
      </c>
      <c r="I29" s="8" t="n">
        <f aca="false">0.675081+0.094264*B29+0.174964*C29+-0.036633*D29+-0.072844*E29+0.053005*F29+-0.116006*G29</f>
        <v>2.29169468</v>
      </c>
      <c r="J29" s="8" t="n">
        <f aca="false">H29-I29</f>
        <v>-0.29169468</v>
      </c>
    </row>
    <row r="30" customFormat="false" ht="15" hidden="false" customHeight="false" outlineLevel="0" collapsed="false">
      <c r="A30" s="4" t="n">
        <v>28</v>
      </c>
      <c r="B30" s="4" t="n">
        <f aca="false">'Encoded Data'!F30</f>
        <v>12.69</v>
      </c>
      <c r="C30" s="4" t="n">
        <f aca="false">'Encoded Data'!E30</f>
        <v>2</v>
      </c>
      <c r="D30" s="4" t="n">
        <f aca="false">'Encoded Data'!A30</f>
        <v>1</v>
      </c>
      <c r="E30" s="4" t="n">
        <f aca="false">'Encoded Data'!B30</f>
        <v>0</v>
      </c>
      <c r="F30" s="4" t="n">
        <f aca="false">'Encoded Data'!C30</f>
        <v>3</v>
      </c>
      <c r="G30" s="4" t="n">
        <f aca="false">'Encoded Data'!D30</f>
        <v>1</v>
      </c>
      <c r="H30" s="10" t="n">
        <f aca="false">'Encoded Data'!G30</f>
        <v>2</v>
      </c>
      <c r="I30" s="10" t="n">
        <f aca="false">0.675081+0.094264*B30+0.174964*C30+-0.036633*D30+-0.072844*E30+0.053005*F30+-0.116006*G30</f>
        <v>2.22759516</v>
      </c>
      <c r="J30" s="10" t="n">
        <f aca="false">H30-I30</f>
        <v>-0.22759516</v>
      </c>
    </row>
    <row r="31" customFormat="false" ht="15" hidden="false" customHeight="false" outlineLevel="0" collapsed="false">
      <c r="A31" s="3" t="n">
        <v>29</v>
      </c>
      <c r="B31" s="3" t="n">
        <f aca="false">'Encoded Data'!F31</f>
        <v>21.7</v>
      </c>
      <c r="C31" s="3" t="n">
        <f aca="false">'Encoded Data'!E31</f>
        <v>2</v>
      </c>
      <c r="D31" s="3" t="n">
        <f aca="false">'Encoded Data'!A31</f>
        <v>1</v>
      </c>
      <c r="E31" s="3" t="n">
        <f aca="false">'Encoded Data'!B31</f>
        <v>0</v>
      </c>
      <c r="F31" s="3" t="n">
        <f aca="false">'Encoded Data'!C31</f>
        <v>3</v>
      </c>
      <c r="G31" s="3" t="n">
        <f aca="false">'Encoded Data'!D31</f>
        <v>1</v>
      </c>
      <c r="H31" s="8" t="n">
        <f aca="false">'Encoded Data'!G31</f>
        <v>4.3</v>
      </c>
      <c r="I31" s="8" t="n">
        <f aca="false">0.675081+0.094264*B31+0.174964*C31+-0.036633*D31+-0.072844*E31+0.053005*F31+-0.116006*G31</f>
        <v>3.0769138</v>
      </c>
      <c r="J31" s="8" t="n">
        <f aca="false">H31-I31</f>
        <v>1.2230862</v>
      </c>
    </row>
    <row r="32" customFormat="false" ht="15" hidden="false" customHeight="false" outlineLevel="0" collapsed="false">
      <c r="A32" s="4" t="n">
        <v>30</v>
      </c>
      <c r="B32" s="4" t="n">
        <f aca="false">'Encoded Data'!F32</f>
        <v>19.65</v>
      </c>
      <c r="C32" s="4" t="n">
        <f aca="false">'Encoded Data'!E32</f>
        <v>2</v>
      </c>
      <c r="D32" s="4" t="n">
        <f aca="false">'Encoded Data'!A32</f>
        <v>0</v>
      </c>
      <c r="E32" s="4" t="n">
        <f aca="false">'Encoded Data'!B32</f>
        <v>0</v>
      </c>
      <c r="F32" s="4" t="n">
        <f aca="false">'Encoded Data'!C32</f>
        <v>3</v>
      </c>
      <c r="G32" s="4" t="n">
        <f aca="false">'Encoded Data'!D32</f>
        <v>1</v>
      </c>
      <c r="H32" s="10" t="n">
        <f aca="false">'Encoded Data'!G32</f>
        <v>3</v>
      </c>
      <c r="I32" s="10" t="n">
        <f aca="false">0.675081+0.094264*B32+0.174964*C32+-0.036633*D32+-0.072844*E32+0.053005*F32+-0.116006*G32</f>
        <v>2.9203056</v>
      </c>
      <c r="J32" s="10" t="n">
        <f aca="false">H32-I32</f>
        <v>0.0796943999999997</v>
      </c>
    </row>
    <row r="33" customFormat="false" ht="15" hidden="false" customHeight="false" outlineLevel="0" collapsed="false">
      <c r="A33" s="3" t="n">
        <v>31</v>
      </c>
      <c r="B33" s="3" t="n">
        <f aca="false">'Encoded Data'!F33</f>
        <v>9.55</v>
      </c>
      <c r="C33" s="3" t="n">
        <f aca="false">'Encoded Data'!E33</f>
        <v>2</v>
      </c>
      <c r="D33" s="3" t="n">
        <f aca="false">'Encoded Data'!A33</f>
        <v>1</v>
      </c>
      <c r="E33" s="3" t="n">
        <f aca="false">'Encoded Data'!B33</f>
        <v>0</v>
      </c>
      <c r="F33" s="3" t="n">
        <f aca="false">'Encoded Data'!C33</f>
        <v>3</v>
      </c>
      <c r="G33" s="3" t="n">
        <f aca="false">'Encoded Data'!D33</f>
        <v>1</v>
      </c>
      <c r="H33" s="8" t="n">
        <f aca="false">'Encoded Data'!G33</f>
        <v>1.45</v>
      </c>
      <c r="I33" s="8" t="n">
        <f aca="false">0.675081+0.094264*B33+0.174964*C33+-0.036633*D33+-0.072844*E33+0.053005*F33+-0.116006*G33</f>
        <v>1.9316062</v>
      </c>
      <c r="J33" s="8" t="n">
        <f aca="false">H33-I33</f>
        <v>-0.4816062</v>
      </c>
    </row>
    <row r="34" customFormat="false" ht="15" hidden="false" customHeight="false" outlineLevel="0" collapsed="false">
      <c r="A34" s="4" t="n">
        <v>32</v>
      </c>
      <c r="B34" s="4" t="n">
        <f aca="false">'Encoded Data'!F34</f>
        <v>18.35</v>
      </c>
      <c r="C34" s="4" t="n">
        <f aca="false">'Encoded Data'!E34</f>
        <v>4</v>
      </c>
      <c r="D34" s="4" t="n">
        <f aca="false">'Encoded Data'!A34</f>
        <v>1</v>
      </c>
      <c r="E34" s="4" t="n">
        <f aca="false">'Encoded Data'!B34</f>
        <v>0</v>
      </c>
      <c r="F34" s="4" t="n">
        <f aca="false">'Encoded Data'!C34</f>
        <v>3</v>
      </c>
      <c r="G34" s="4" t="n">
        <f aca="false">'Encoded Data'!D34</f>
        <v>1</v>
      </c>
      <c r="H34" s="10" t="n">
        <f aca="false">'Encoded Data'!G34</f>
        <v>2.5</v>
      </c>
      <c r="I34" s="10" t="n">
        <f aca="false">0.675081+0.094264*B34+0.174964*C34+-0.036633*D34+-0.072844*E34+0.053005*F34+-0.116006*G34</f>
        <v>3.1110574</v>
      </c>
      <c r="J34" s="10" t="n">
        <f aca="false">H34-I34</f>
        <v>-0.6110574</v>
      </c>
    </row>
    <row r="35" customFormat="false" ht="15" hidden="false" customHeight="false" outlineLevel="0" collapsed="false">
      <c r="A35" s="3" t="n">
        <v>33</v>
      </c>
      <c r="B35" s="3" t="n">
        <f aca="false">'Encoded Data'!F35</f>
        <v>15.06</v>
      </c>
      <c r="C35" s="3" t="n">
        <f aca="false">'Encoded Data'!E35</f>
        <v>2</v>
      </c>
      <c r="D35" s="3" t="n">
        <f aca="false">'Encoded Data'!A35</f>
        <v>0</v>
      </c>
      <c r="E35" s="3" t="n">
        <f aca="false">'Encoded Data'!B35</f>
        <v>0</v>
      </c>
      <c r="F35" s="3" t="n">
        <f aca="false">'Encoded Data'!C35</f>
        <v>3</v>
      </c>
      <c r="G35" s="3" t="n">
        <f aca="false">'Encoded Data'!D35</f>
        <v>1</v>
      </c>
      <c r="H35" s="8" t="n">
        <f aca="false">'Encoded Data'!G35</f>
        <v>3</v>
      </c>
      <c r="I35" s="8" t="n">
        <f aca="false">0.675081+0.094264*B35+0.174964*C35+-0.036633*D35+-0.072844*E35+0.053005*F35+-0.116006*G35</f>
        <v>2.48763384</v>
      </c>
      <c r="J35" s="8" t="n">
        <f aca="false">H35-I35</f>
        <v>0.51236616</v>
      </c>
    </row>
    <row r="36" customFormat="false" ht="15" hidden="false" customHeight="false" outlineLevel="0" collapsed="false">
      <c r="A36" s="4" t="n">
        <v>34</v>
      </c>
      <c r="B36" s="4" t="n">
        <f aca="false">'Encoded Data'!F36</f>
        <v>20.69</v>
      </c>
      <c r="C36" s="4" t="n">
        <f aca="false">'Encoded Data'!E36</f>
        <v>4</v>
      </c>
      <c r="D36" s="4" t="n">
        <f aca="false">'Encoded Data'!A36</f>
        <v>0</v>
      </c>
      <c r="E36" s="4" t="n">
        <f aca="false">'Encoded Data'!B36</f>
        <v>0</v>
      </c>
      <c r="F36" s="4" t="n">
        <f aca="false">'Encoded Data'!C36</f>
        <v>3</v>
      </c>
      <c r="G36" s="4" t="n">
        <f aca="false">'Encoded Data'!D36</f>
        <v>1</v>
      </c>
      <c r="H36" s="10" t="n">
        <f aca="false">'Encoded Data'!G36</f>
        <v>2.45</v>
      </c>
      <c r="I36" s="10" t="n">
        <f aca="false">0.675081+0.094264*B36+0.174964*C36+-0.036633*D36+-0.072844*E36+0.053005*F36+-0.116006*G36</f>
        <v>3.36826816</v>
      </c>
      <c r="J36" s="10" t="n">
        <f aca="false">H36-I36</f>
        <v>-0.91826816</v>
      </c>
    </row>
    <row r="37" customFormat="false" ht="15" hidden="false" customHeight="false" outlineLevel="0" collapsed="false">
      <c r="A37" s="3" t="n">
        <v>35</v>
      </c>
      <c r="B37" s="3" t="n">
        <f aca="false">'Encoded Data'!F37</f>
        <v>17.78</v>
      </c>
      <c r="C37" s="3" t="n">
        <f aca="false">'Encoded Data'!E37</f>
        <v>2</v>
      </c>
      <c r="D37" s="3" t="n">
        <f aca="false">'Encoded Data'!A37</f>
        <v>1</v>
      </c>
      <c r="E37" s="3" t="n">
        <f aca="false">'Encoded Data'!B37</f>
        <v>0</v>
      </c>
      <c r="F37" s="3" t="n">
        <f aca="false">'Encoded Data'!C37</f>
        <v>3</v>
      </c>
      <c r="G37" s="3" t="n">
        <f aca="false">'Encoded Data'!D37</f>
        <v>1</v>
      </c>
      <c r="H37" s="8" t="n">
        <f aca="false">'Encoded Data'!G37</f>
        <v>3.27</v>
      </c>
      <c r="I37" s="8" t="n">
        <f aca="false">0.675081+0.094264*B37+0.174964*C37+-0.036633*D37+-0.072844*E37+0.053005*F37+-0.116006*G37</f>
        <v>2.70739892</v>
      </c>
      <c r="J37" s="8" t="n">
        <f aca="false">H37-I37</f>
        <v>0.562601079999999</v>
      </c>
    </row>
    <row r="38" customFormat="false" ht="15" hidden="false" customHeight="false" outlineLevel="0" collapsed="false">
      <c r="A38" s="4" t="n">
        <v>36</v>
      </c>
      <c r="B38" s="4" t="n">
        <f aca="false">'Encoded Data'!F38</f>
        <v>24.06</v>
      </c>
      <c r="C38" s="4" t="n">
        <f aca="false">'Encoded Data'!E38</f>
        <v>3</v>
      </c>
      <c r="D38" s="4" t="n">
        <f aca="false">'Encoded Data'!A38</f>
        <v>1</v>
      </c>
      <c r="E38" s="4" t="n">
        <f aca="false">'Encoded Data'!B38</f>
        <v>0</v>
      </c>
      <c r="F38" s="4" t="n">
        <f aca="false">'Encoded Data'!C38</f>
        <v>3</v>
      </c>
      <c r="G38" s="4" t="n">
        <f aca="false">'Encoded Data'!D38</f>
        <v>1</v>
      </c>
      <c r="H38" s="10" t="n">
        <f aca="false">'Encoded Data'!G38</f>
        <v>3.6</v>
      </c>
      <c r="I38" s="10" t="n">
        <f aca="false">0.675081+0.094264*B38+0.174964*C38+-0.036633*D38+-0.072844*E38+0.053005*F38+-0.116006*G38</f>
        <v>3.47434084</v>
      </c>
      <c r="J38" s="10" t="n">
        <f aca="false">H38-I38</f>
        <v>0.12565916</v>
      </c>
    </row>
    <row r="39" customFormat="false" ht="15" hidden="false" customHeight="false" outlineLevel="0" collapsed="false">
      <c r="A39" s="3" t="n">
        <v>37</v>
      </c>
      <c r="B39" s="3" t="n">
        <f aca="false">'Encoded Data'!F39</f>
        <v>16.31</v>
      </c>
      <c r="C39" s="3" t="n">
        <f aca="false">'Encoded Data'!E39</f>
        <v>3</v>
      </c>
      <c r="D39" s="3" t="n">
        <f aca="false">'Encoded Data'!A39</f>
        <v>1</v>
      </c>
      <c r="E39" s="3" t="n">
        <f aca="false">'Encoded Data'!B39</f>
        <v>0</v>
      </c>
      <c r="F39" s="3" t="n">
        <f aca="false">'Encoded Data'!C39</f>
        <v>3</v>
      </c>
      <c r="G39" s="3" t="n">
        <f aca="false">'Encoded Data'!D39</f>
        <v>1</v>
      </c>
      <c r="H39" s="8" t="n">
        <f aca="false">'Encoded Data'!G39</f>
        <v>2</v>
      </c>
      <c r="I39" s="8" t="n">
        <f aca="false">0.675081+0.094264*B39+0.174964*C39+-0.036633*D39+-0.072844*E39+0.053005*F39+-0.116006*G39</f>
        <v>2.74379484</v>
      </c>
      <c r="J39" s="8" t="n">
        <f aca="false">H39-I39</f>
        <v>-0.74379484</v>
      </c>
    </row>
    <row r="40" customFormat="false" ht="15" hidden="false" customHeight="false" outlineLevel="0" collapsed="false">
      <c r="A40" s="4" t="n">
        <v>38</v>
      </c>
      <c r="B40" s="4" t="n">
        <f aca="false">'Encoded Data'!F40</f>
        <v>16.93</v>
      </c>
      <c r="C40" s="4" t="n">
        <f aca="false">'Encoded Data'!E40</f>
        <v>3</v>
      </c>
      <c r="D40" s="4" t="n">
        <f aca="false">'Encoded Data'!A40</f>
        <v>0</v>
      </c>
      <c r="E40" s="4" t="n">
        <f aca="false">'Encoded Data'!B40</f>
        <v>0</v>
      </c>
      <c r="F40" s="4" t="n">
        <f aca="false">'Encoded Data'!C40</f>
        <v>3</v>
      </c>
      <c r="G40" s="4" t="n">
        <f aca="false">'Encoded Data'!D40</f>
        <v>1</v>
      </c>
      <c r="H40" s="10" t="n">
        <f aca="false">'Encoded Data'!G40</f>
        <v>3.07</v>
      </c>
      <c r="I40" s="10" t="n">
        <f aca="false">0.675081+0.094264*B40+0.174964*C40+-0.036633*D40+-0.072844*E40+0.053005*F40+-0.116006*G40</f>
        <v>2.83887152</v>
      </c>
      <c r="J40" s="10" t="n">
        <f aca="false">H40-I40</f>
        <v>0.23112848</v>
      </c>
    </row>
    <row r="41" customFormat="false" ht="15" hidden="false" customHeight="false" outlineLevel="0" collapsed="false">
      <c r="A41" s="3" t="n">
        <v>39</v>
      </c>
      <c r="B41" s="3" t="n">
        <f aca="false">'Encoded Data'!F41</f>
        <v>18.69</v>
      </c>
      <c r="C41" s="3" t="n">
        <f aca="false">'Encoded Data'!E41</f>
        <v>3</v>
      </c>
      <c r="D41" s="3" t="n">
        <f aca="false">'Encoded Data'!A41</f>
        <v>1</v>
      </c>
      <c r="E41" s="3" t="n">
        <f aca="false">'Encoded Data'!B41</f>
        <v>0</v>
      </c>
      <c r="F41" s="3" t="n">
        <f aca="false">'Encoded Data'!C41</f>
        <v>3</v>
      </c>
      <c r="G41" s="3" t="n">
        <f aca="false">'Encoded Data'!D41</f>
        <v>1</v>
      </c>
      <c r="H41" s="8" t="n">
        <f aca="false">'Encoded Data'!G41</f>
        <v>2.31</v>
      </c>
      <c r="I41" s="8" t="n">
        <f aca="false">0.675081+0.094264*B41+0.174964*C41+-0.036633*D41+-0.072844*E41+0.053005*F41+-0.116006*G41</f>
        <v>2.96814316</v>
      </c>
      <c r="J41" s="8" t="n">
        <f aca="false">H41-I41</f>
        <v>-0.65814316</v>
      </c>
    </row>
    <row r="42" customFormat="false" ht="15" hidden="false" customHeight="false" outlineLevel="0" collapsed="false">
      <c r="A42" s="4" t="n">
        <v>40</v>
      </c>
      <c r="B42" s="4" t="n">
        <f aca="false">'Encoded Data'!F42</f>
        <v>31.27</v>
      </c>
      <c r="C42" s="4" t="n">
        <f aca="false">'Encoded Data'!E42</f>
        <v>3</v>
      </c>
      <c r="D42" s="4" t="n">
        <f aca="false">'Encoded Data'!A42</f>
        <v>1</v>
      </c>
      <c r="E42" s="4" t="n">
        <f aca="false">'Encoded Data'!B42</f>
        <v>0</v>
      </c>
      <c r="F42" s="4" t="n">
        <f aca="false">'Encoded Data'!C42</f>
        <v>3</v>
      </c>
      <c r="G42" s="4" t="n">
        <f aca="false">'Encoded Data'!D42</f>
        <v>1</v>
      </c>
      <c r="H42" s="10" t="n">
        <f aca="false">'Encoded Data'!G42</f>
        <v>5</v>
      </c>
      <c r="I42" s="10" t="n">
        <f aca="false">0.675081+0.094264*B42+0.174964*C42+-0.036633*D42+-0.072844*E42+0.053005*F42+-0.116006*G42</f>
        <v>4.15398428</v>
      </c>
      <c r="J42" s="10" t="n">
        <f aca="false">H42-I42</f>
        <v>0.84601572</v>
      </c>
    </row>
    <row r="43" customFormat="false" ht="15" hidden="false" customHeight="false" outlineLevel="0" collapsed="false">
      <c r="A43" s="3" t="n">
        <v>41</v>
      </c>
      <c r="B43" s="3" t="n">
        <f aca="false">'Encoded Data'!F43</f>
        <v>16.04</v>
      </c>
      <c r="C43" s="3" t="n">
        <f aca="false">'Encoded Data'!E43</f>
        <v>3</v>
      </c>
      <c r="D43" s="3" t="n">
        <f aca="false">'Encoded Data'!A43</f>
        <v>1</v>
      </c>
      <c r="E43" s="3" t="n">
        <f aca="false">'Encoded Data'!B43</f>
        <v>0</v>
      </c>
      <c r="F43" s="3" t="n">
        <f aca="false">'Encoded Data'!C43</f>
        <v>3</v>
      </c>
      <c r="G43" s="3" t="n">
        <f aca="false">'Encoded Data'!D43</f>
        <v>1</v>
      </c>
      <c r="H43" s="8" t="n">
        <f aca="false">'Encoded Data'!G43</f>
        <v>2.24</v>
      </c>
      <c r="I43" s="8" t="n">
        <f aca="false">0.675081+0.094264*B43+0.174964*C43+-0.036633*D43+-0.072844*E43+0.053005*F43+-0.116006*G43</f>
        <v>2.71834356</v>
      </c>
      <c r="J43" s="8" t="n">
        <f aca="false">H43-I43</f>
        <v>-0.47834356</v>
      </c>
    </row>
    <row r="44" customFormat="false" ht="15" hidden="false" customHeight="false" outlineLevel="0" collapsed="false">
      <c r="A44" s="4" t="n">
        <v>42</v>
      </c>
      <c r="B44" s="4" t="n">
        <f aca="false">'Encoded Data'!F44</f>
        <v>17.46</v>
      </c>
      <c r="C44" s="4" t="n">
        <f aca="false">'Encoded Data'!E44</f>
        <v>2</v>
      </c>
      <c r="D44" s="4" t="n">
        <f aca="false">'Encoded Data'!A44</f>
        <v>1</v>
      </c>
      <c r="E44" s="4" t="n">
        <f aca="false">'Encoded Data'!B44</f>
        <v>0</v>
      </c>
      <c r="F44" s="4" t="n">
        <f aca="false">'Encoded Data'!C44</f>
        <v>4</v>
      </c>
      <c r="G44" s="4" t="n">
        <f aca="false">'Encoded Data'!D44</f>
        <v>1</v>
      </c>
      <c r="H44" s="10" t="n">
        <f aca="false">'Encoded Data'!G44</f>
        <v>2.54</v>
      </c>
      <c r="I44" s="10" t="n">
        <f aca="false">0.675081+0.094264*B44+0.174964*C44+-0.036633*D44+-0.072844*E44+0.053005*F44+-0.116006*G44</f>
        <v>2.73023944</v>
      </c>
      <c r="J44" s="10" t="n">
        <f aca="false">H44-I44</f>
        <v>-0.19023944</v>
      </c>
    </row>
    <row r="45" customFormat="false" ht="15" hidden="false" customHeight="false" outlineLevel="0" collapsed="false">
      <c r="A45" s="3" t="n">
        <v>43</v>
      </c>
      <c r="B45" s="3" t="n">
        <f aca="false">'Encoded Data'!F45</f>
        <v>13.94</v>
      </c>
      <c r="C45" s="3" t="n">
        <f aca="false">'Encoded Data'!E45</f>
        <v>2</v>
      </c>
      <c r="D45" s="3" t="n">
        <f aca="false">'Encoded Data'!A45</f>
        <v>1</v>
      </c>
      <c r="E45" s="3" t="n">
        <f aca="false">'Encoded Data'!B45</f>
        <v>0</v>
      </c>
      <c r="F45" s="3" t="n">
        <f aca="false">'Encoded Data'!C45</f>
        <v>4</v>
      </c>
      <c r="G45" s="3" t="n">
        <f aca="false">'Encoded Data'!D45</f>
        <v>1</v>
      </c>
      <c r="H45" s="8" t="n">
        <f aca="false">'Encoded Data'!G45</f>
        <v>3.06</v>
      </c>
      <c r="I45" s="8" t="n">
        <f aca="false">0.675081+0.094264*B45+0.174964*C45+-0.036633*D45+-0.072844*E45+0.053005*F45+-0.116006*G45</f>
        <v>2.39843016</v>
      </c>
      <c r="J45" s="8" t="n">
        <f aca="false">H45-I45</f>
        <v>0.66156984</v>
      </c>
    </row>
    <row r="46" customFormat="false" ht="15" hidden="false" customHeight="false" outlineLevel="0" collapsed="false">
      <c r="A46" s="4" t="n">
        <v>44</v>
      </c>
      <c r="B46" s="4" t="n">
        <f aca="false">'Encoded Data'!F46</f>
        <v>9.68</v>
      </c>
      <c r="C46" s="4" t="n">
        <f aca="false">'Encoded Data'!E46</f>
        <v>2</v>
      </c>
      <c r="D46" s="4" t="n">
        <f aca="false">'Encoded Data'!A46</f>
        <v>1</v>
      </c>
      <c r="E46" s="4" t="n">
        <f aca="false">'Encoded Data'!B46</f>
        <v>0</v>
      </c>
      <c r="F46" s="4" t="n">
        <f aca="false">'Encoded Data'!C46</f>
        <v>4</v>
      </c>
      <c r="G46" s="4" t="n">
        <f aca="false">'Encoded Data'!D46</f>
        <v>1</v>
      </c>
      <c r="H46" s="10" t="n">
        <f aca="false">'Encoded Data'!G46</f>
        <v>1.32</v>
      </c>
      <c r="I46" s="10" t="n">
        <f aca="false">0.675081+0.094264*B46+0.174964*C46+-0.036633*D46+-0.072844*E46+0.053005*F46+-0.116006*G46</f>
        <v>1.99686552</v>
      </c>
      <c r="J46" s="10" t="n">
        <f aca="false">H46-I46</f>
        <v>-0.67686552</v>
      </c>
    </row>
    <row r="47" customFormat="false" ht="15" hidden="false" customHeight="false" outlineLevel="0" collapsed="false">
      <c r="A47" s="3" t="n">
        <v>45</v>
      </c>
      <c r="B47" s="3" t="n">
        <f aca="false">'Encoded Data'!F47</f>
        <v>30.4</v>
      </c>
      <c r="C47" s="3" t="n">
        <f aca="false">'Encoded Data'!E47</f>
        <v>4</v>
      </c>
      <c r="D47" s="3" t="n">
        <f aca="false">'Encoded Data'!A47</f>
        <v>1</v>
      </c>
      <c r="E47" s="3" t="n">
        <f aca="false">'Encoded Data'!B47</f>
        <v>0</v>
      </c>
      <c r="F47" s="3" t="n">
        <f aca="false">'Encoded Data'!C47</f>
        <v>4</v>
      </c>
      <c r="G47" s="3" t="n">
        <f aca="false">'Encoded Data'!D47</f>
        <v>1</v>
      </c>
      <c r="H47" s="8" t="n">
        <f aca="false">'Encoded Data'!G47</f>
        <v>5.6</v>
      </c>
      <c r="I47" s="8" t="n">
        <f aca="false">0.675081+0.094264*B47+0.174964*C47+-0.036633*D47+-0.072844*E47+0.053005*F47+-0.116006*G47</f>
        <v>4.2999436</v>
      </c>
      <c r="J47" s="8" t="n">
        <f aca="false">H47-I47</f>
        <v>1.3000564</v>
      </c>
    </row>
    <row r="48" customFormat="false" ht="15" hidden="false" customHeight="false" outlineLevel="0" collapsed="false">
      <c r="A48" s="4" t="n">
        <v>46</v>
      </c>
      <c r="B48" s="4" t="n">
        <f aca="false">'Encoded Data'!F48</f>
        <v>18.29</v>
      </c>
      <c r="C48" s="4" t="n">
        <f aca="false">'Encoded Data'!E48</f>
        <v>2</v>
      </c>
      <c r="D48" s="4" t="n">
        <f aca="false">'Encoded Data'!A48</f>
        <v>1</v>
      </c>
      <c r="E48" s="4" t="n">
        <f aca="false">'Encoded Data'!B48</f>
        <v>0</v>
      </c>
      <c r="F48" s="4" t="n">
        <f aca="false">'Encoded Data'!C48</f>
        <v>4</v>
      </c>
      <c r="G48" s="4" t="n">
        <f aca="false">'Encoded Data'!D48</f>
        <v>1</v>
      </c>
      <c r="H48" s="10" t="n">
        <f aca="false">'Encoded Data'!G48</f>
        <v>3</v>
      </c>
      <c r="I48" s="10" t="n">
        <f aca="false">0.675081+0.094264*B48+0.174964*C48+-0.036633*D48+-0.072844*E48+0.053005*F48+-0.116006*G48</f>
        <v>2.80847856</v>
      </c>
      <c r="J48" s="10" t="n">
        <f aca="false">H48-I48</f>
        <v>0.19152144</v>
      </c>
    </row>
    <row r="49" customFormat="false" ht="15" hidden="false" customHeight="false" outlineLevel="0" collapsed="false">
      <c r="A49" s="3" t="n">
        <v>47</v>
      </c>
      <c r="B49" s="3" t="n">
        <f aca="false">'Encoded Data'!F49</f>
        <v>22.23</v>
      </c>
      <c r="C49" s="3" t="n">
        <f aca="false">'Encoded Data'!E49</f>
        <v>2</v>
      </c>
      <c r="D49" s="3" t="n">
        <f aca="false">'Encoded Data'!A49</f>
        <v>1</v>
      </c>
      <c r="E49" s="3" t="n">
        <f aca="false">'Encoded Data'!B49</f>
        <v>0</v>
      </c>
      <c r="F49" s="3" t="n">
        <f aca="false">'Encoded Data'!C49</f>
        <v>4</v>
      </c>
      <c r="G49" s="3" t="n">
        <f aca="false">'Encoded Data'!D49</f>
        <v>1</v>
      </c>
      <c r="H49" s="8" t="n">
        <f aca="false">'Encoded Data'!G49</f>
        <v>5</v>
      </c>
      <c r="I49" s="8" t="n">
        <f aca="false">0.675081+0.094264*B49+0.174964*C49+-0.036633*D49+-0.072844*E49+0.053005*F49+-0.116006*G49</f>
        <v>3.17987872</v>
      </c>
      <c r="J49" s="8" t="n">
        <f aca="false">H49-I49</f>
        <v>1.82012128</v>
      </c>
    </row>
    <row r="50" customFormat="false" ht="15" hidden="false" customHeight="false" outlineLevel="0" collapsed="false">
      <c r="A50" s="4" t="n">
        <v>48</v>
      </c>
      <c r="B50" s="4" t="n">
        <f aca="false">'Encoded Data'!F50</f>
        <v>32.4</v>
      </c>
      <c r="C50" s="4" t="n">
        <f aca="false">'Encoded Data'!E50</f>
        <v>4</v>
      </c>
      <c r="D50" s="4" t="n">
        <f aca="false">'Encoded Data'!A50</f>
        <v>1</v>
      </c>
      <c r="E50" s="4" t="n">
        <f aca="false">'Encoded Data'!B50</f>
        <v>0</v>
      </c>
      <c r="F50" s="4" t="n">
        <f aca="false">'Encoded Data'!C50</f>
        <v>4</v>
      </c>
      <c r="G50" s="4" t="n">
        <f aca="false">'Encoded Data'!D50</f>
        <v>1</v>
      </c>
      <c r="H50" s="10" t="n">
        <f aca="false">'Encoded Data'!G50</f>
        <v>6</v>
      </c>
      <c r="I50" s="10" t="n">
        <f aca="false">0.675081+0.094264*B50+0.174964*C50+-0.036633*D50+-0.072844*E50+0.053005*F50+-0.116006*G50</f>
        <v>4.4884716</v>
      </c>
      <c r="J50" s="10" t="n">
        <f aca="false">H50-I50</f>
        <v>1.5115284</v>
      </c>
    </row>
    <row r="51" customFormat="false" ht="15" hidden="false" customHeight="false" outlineLevel="0" collapsed="false">
      <c r="A51" s="3" t="n">
        <v>49</v>
      </c>
      <c r="B51" s="3" t="n">
        <f aca="false">'Encoded Data'!F51</f>
        <v>28.55</v>
      </c>
      <c r="C51" s="3" t="n">
        <f aca="false">'Encoded Data'!E51</f>
        <v>3</v>
      </c>
      <c r="D51" s="3" t="n">
        <f aca="false">'Encoded Data'!A51</f>
        <v>1</v>
      </c>
      <c r="E51" s="3" t="n">
        <f aca="false">'Encoded Data'!B51</f>
        <v>0</v>
      </c>
      <c r="F51" s="3" t="n">
        <f aca="false">'Encoded Data'!C51</f>
        <v>4</v>
      </c>
      <c r="G51" s="3" t="n">
        <f aca="false">'Encoded Data'!D51</f>
        <v>1</v>
      </c>
      <c r="H51" s="8" t="n">
        <f aca="false">'Encoded Data'!G51</f>
        <v>2.05</v>
      </c>
      <c r="I51" s="8" t="n">
        <f aca="false">0.675081+0.094264*B51+0.174964*C51+-0.036633*D51+-0.072844*E51+0.053005*F51+-0.116006*G51</f>
        <v>3.9505912</v>
      </c>
      <c r="J51" s="8" t="n">
        <f aca="false">H51-I51</f>
        <v>-1.9005912</v>
      </c>
    </row>
    <row r="52" customFormat="false" ht="15" hidden="false" customHeight="false" outlineLevel="0" collapsed="false">
      <c r="A52" s="4" t="n">
        <v>50</v>
      </c>
      <c r="B52" s="4" t="n">
        <f aca="false">'Encoded Data'!F52</f>
        <v>18.04</v>
      </c>
      <c r="C52" s="4" t="n">
        <f aca="false">'Encoded Data'!E52</f>
        <v>2</v>
      </c>
      <c r="D52" s="4" t="n">
        <f aca="false">'Encoded Data'!A52</f>
        <v>1</v>
      </c>
      <c r="E52" s="4" t="n">
        <f aca="false">'Encoded Data'!B52</f>
        <v>0</v>
      </c>
      <c r="F52" s="4" t="n">
        <f aca="false">'Encoded Data'!C52</f>
        <v>4</v>
      </c>
      <c r="G52" s="4" t="n">
        <f aca="false">'Encoded Data'!D52</f>
        <v>1</v>
      </c>
      <c r="H52" s="10" t="n">
        <f aca="false">'Encoded Data'!G52</f>
        <v>3</v>
      </c>
      <c r="I52" s="10" t="n">
        <f aca="false">0.675081+0.094264*B52+0.174964*C52+-0.036633*D52+-0.072844*E52+0.053005*F52+-0.116006*G52</f>
        <v>2.78491256</v>
      </c>
      <c r="J52" s="10" t="n">
        <f aca="false">H52-I52</f>
        <v>0.21508744</v>
      </c>
    </row>
    <row r="53" customFormat="false" ht="15" hidden="false" customHeight="false" outlineLevel="0" collapsed="false">
      <c r="A53" s="3" t="n">
        <v>51</v>
      </c>
      <c r="B53" s="3" t="n">
        <f aca="false">'Encoded Data'!F53</f>
        <v>12.54</v>
      </c>
      <c r="C53" s="3" t="n">
        <f aca="false">'Encoded Data'!E53</f>
        <v>2</v>
      </c>
      <c r="D53" s="3" t="n">
        <f aca="false">'Encoded Data'!A53</f>
        <v>1</v>
      </c>
      <c r="E53" s="3" t="n">
        <f aca="false">'Encoded Data'!B53</f>
        <v>0</v>
      </c>
      <c r="F53" s="3" t="n">
        <f aca="false">'Encoded Data'!C53</f>
        <v>4</v>
      </c>
      <c r="G53" s="3" t="n">
        <f aca="false">'Encoded Data'!D53</f>
        <v>1</v>
      </c>
      <c r="H53" s="8" t="n">
        <f aca="false">'Encoded Data'!G53</f>
        <v>2.5</v>
      </c>
      <c r="I53" s="8" t="n">
        <f aca="false">0.675081+0.094264*B53+0.174964*C53+-0.036633*D53+-0.072844*E53+0.053005*F53+-0.116006*G53</f>
        <v>2.26646056</v>
      </c>
      <c r="J53" s="8" t="n">
        <f aca="false">H53-I53</f>
        <v>0.23353944</v>
      </c>
    </row>
    <row r="54" customFormat="false" ht="15" hidden="false" customHeight="false" outlineLevel="0" collapsed="false">
      <c r="A54" s="4" t="n">
        <v>52</v>
      </c>
      <c r="B54" s="4" t="n">
        <f aca="false">'Encoded Data'!F54</f>
        <v>10.29</v>
      </c>
      <c r="C54" s="4" t="n">
        <f aca="false">'Encoded Data'!E54</f>
        <v>2</v>
      </c>
      <c r="D54" s="4" t="n">
        <f aca="false">'Encoded Data'!A54</f>
        <v>0</v>
      </c>
      <c r="E54" s="4" t="n">
        <f aca="false">'Encoded Data'!B54</f>
        <v>0</v>
      </c>
      <c r="F54" s="4" t="n">
        <f aca="false">'Encoded Data'!C54</f>
        <v>4</v>
      </c>
      <c r="G54" s="4" t="n">
        <f aca="false">'Encoded Data'!D54</f>
        <v>1</v>
      </c>
      <c r="H54" s="10" t="n">
        <f aca="false">'Encoded Data'!G54</f>
        <v>2.6</v>
      </c>
      <c r="I54" s="10" t="n">
        <f aca="false">0.675081+0.094264*B54+0.174964*C54+-0.036633*D54+-0.072844*E54+0.053005*F54+-0.116006*G54</f>
        <v>2.09099956</v>
      </c>
      <c r="J54" s="10" t="n">
        <f aca="false">H54-I54</f>
        <v>0.50900044</v>
      </c>
    </row>
    <row r="55" customFormat="false" ht="15" hidden="false" customHeight="false" outlineLevel="0" collapsed="false">
      <c r="A55" s="3" t="n">
        <v>53</v>
      </c>
      <c r="B55" s="3" t="n">
        <f aca="false">'Encoded Data'!F55</f>
        <v>34.81</v>
      </c>
      <c r="C55" s="3" t="n">
        <f aca="false">'Encoded Data'!E55</f>
        <v>4</v>
      </c>
      <c r="D55" s="3" t="n">
        <f aca="false">'Encoded Data'!A55</f>
        <v>0</v>
      </c>
      <c r="E55" s="3" t="n">
        <f aca="false">'Encoded Data'!B55</f>
        <v>0</v>
      </c>
      <c r="F55" s="3" t="n">
        <f aca="false">'Encoded Data'!C55</f>
        <v>4</v>
      </c>
      <c r="G55" s="3" t="n">
        <f aca="false">'Encoded Data'!D55</f>
        <v>1</v>
      </c>
      <c r="H55" s="8" t="n">
        <f aca="false">'Encoded Data'!G55</f>
        <v>5.2</v>
      </c>
      <c r="I55" s="8" t="n">
        <f aca="false">0.675081+0.094264*B55+0.174964*C55+-0.036633*D55+-0.072844*E55+0.053005*F55+-0.116006*G55</f>
        <v>4.75228084</v>
      </c>
      <c r="J55" s="8" t="n">
        <f aca="false">H55-I55</f>
        <v>0.447719159999999</v>
      </c>
    </row>
    <row r="56" customFormat="false" ht="15" hidden="false" customHeight="false" outlineLevel="0" collapsed="false">
      <c r="A56" s="4" t="n">
        <v>54</v>
      </c>
      <c r="B56" s="4" t="n">
        <f aca="false">'Encoded Data'!F56</f>
        <v>9.94</v>
      </c>
      <c r="C56" s="4" t="n">
        <f aca="false">'Encoded Data'!E56</f>
        <v>2</v>
      </c>
      <c r="D56" s="4" t="n">
        <f aca="false">'Encoded Data'!A56</f>
        <v>1</v>
      </c>
      <c r="E56" s="4" t="n">
        <f aca="false">'Encoded Data'!B56</f>
        <v>0</v>
      </c>
      <c r="F56" s="4" t="n">
        <f aca="false">'Encoded Data'!C56</f>
        <v>4</v>
      </c>
      <c r="G56" s="4" t="n">
        <f aca="false">'Encoded Data'!D56</f>
        <v>1</v>
      </c>
      <c r="H56" s="10" t="n">
        <f aca="false">'Encoded Data'!G56</f>
        <v>1.56</v>
      </c>
      <c r="I56" s="10" t="n">
        <f aca="false">0.675081+0.094264*B56+0.174964*C56+-0.036633*D56+-0.072844*E56+0.053005*F56+-0.116006*G56</f>
        <v>2.02137416</v>
      </c>
      <c r="J56" s="10" t="n">
        <f aca="false">H56-I56</f>
        <v>-0.46137416</v>
      </c>
    </row>
    <row r="57" customFormat="false" ht="15" hidden="false" customHeight="false" outlineLevel="0" collapsed="false">
      <c r="A57" s="3" t="n">
        <v>55</v>
      </c>
      <c r="B57" s="3" t="n">
        <f aca="false">'Encoded Data'!F57</f>
        <v>25.56</v>
      </c>
      <c r="C57" s="3" t="n">
        <f aca="false">'Encoded Data'!E57</f>
        <v>4</v>
      </c>
      <c r="D57" s="3" t="n">
        <f aca="false">'Encoded Data'!A57</f>
        <v>1</v>
      </c>
      <c r="E57" s="3" t="n">
        <f aca="false">'Encoded Data'!B57</f>
        <v>0</v>
      </c>
      <c r="F57" s="3" t="n">
        <f aca="false">'Encoded Data'!C57</f>
        <v>4</v>
      </c>
      <c r="G57" s="3" t="n">
        <f aca="false">'Encoded Data'!D57</f>
        <v>1</v>
      </c>
      <c r="H57" s="8" t="n">
        <f aca="false">'Encoded Data'!G57</f>
        <v>4.34</v>
      </c>
      <c r="I57" s="8" t="n">
        <f aca="false">0.675081+0.094264*B57+0.174964*C57+-0.036633*D57+-0.072844*E57+0.053005*F57+-0.116006*G57</f>
        <v>3.84370584</v>
      </c>
      <c r="J57" s="8" t="n">
        <f aca="false">H57-I57</f>
        <v>0.49629416</v>
      </c>
    </row>
    <row r="58" customFormat="false" ht="15" hidden="false" customHeight="false" outlineLevel="0" collapsed="false">
      <c r="A58" s="4" t="n">
        <v>56</v>
      </c>
      <c r="B58" s="4" t="n">
        <f aca="false">'Encoded Data'!F58</f>
        <v>19.49</v>
      </c>
      <c r="C58" s="4" t="n">
        <f aca="false">'Encoded Data'!E58</f>
        <v>2</v>
      </c>
      <c r="D58" s="4" t="n">
        <f aca="false">'Encoded Data'!A58</f>
        <v>1</v>
      </c>
      <c r="E58" s="4" t="n">
        <f aca="false">'Encoded Data'!B58</f>
        <v>0</v>
      </c>
      <c r="F58" s="4" t="n">
        <f aca="false">'Encoded Data'!C58</f>
        <v>4</v>
      </c>
      <c r="G58" s="4" t="n">
        <f aca="false">'Encoded Data'!D58</f>
        <v>1</v>
      </c>
      <c r="H58" s="10" t="n">
        <f aca="false">'Encoded Data'!G58</f>
        <v>3.51</v>
      </c>
      <c r="I58" s="10" t="n">
        <f aca="false">0.675081+0.094264*B58+0.174964*C58+-0.036633*D58+-0.072844*E58+0.053005*F58+-0.116006*G58</f>
        <v>2.92159536</v>
      </c>
      <c r="J58" s="10" t="n">
        <f aca="false">H58-I58</f>
        <v>0.58840464</v>
      </c>
    </row>
    <row r="59" customFormat="false" ht="15" hidden="false" customHeight="false" outlineLevel="0" collapsed="false">
      <c r="A59" s="3" t="n">
        <v>57</v>
      </c>
      <c r="B59" s="3" t="n">
        <f aca="false">'Encoded Data'!F59</f>
        <v>38.01</v>
      </c>
      <c r="C59" s="3" t="n">
        <f aca="false">'Encoded Data'!E59</f>
        <v>4</v>
      </c>
      <c r="D59" s="3" t="n">
        <f aca="false">'Encoded Data'!A59</f>
        <v>1</v>
      </c>
      <c r="E59" s="3" t="n">
        <f aca="false">'Encoded Data'!B59</f>
        <v>1</v>
      </c>
      <c r="F59" s="3" t="n">
        <f aca="false">'Encoded Data'!C59</f>
        <v>3</v>
      </c>
      <c r="G59" s="3" t="n">
        <f aca="false">'Encoded Data'!D59</f>
        <v>1</v>
      </c>
      <c r="H59" s="8" t="n">
        <f aca="false">'Encoded Data'!G59</f>
        <v>3</v>
      </c>
      <c r="I59" s="8" t="n">
        <f aca="false">0.675081+0.094264*B59+0.174964*C59+-0.036633*D59+-0.072844*E59+0.053005*F59+-0.116006*G59</f>
        <v>4.89144364</v>
      </c>
      <c r="J59" s="8" t="n">
        <f aca="false">H59-I59</f>
        <v>-1.89144364</v>
      </c>
    </row>
    <row r="60" customFormat="false" ht="15" hidden="false" customHeight="false" outlineLevel="0" collapsed="false">
      <c r="A60" s="4" t="n">
        <v>58</v>
      </c>
      <c r="B60" s="4" t="n">
        <f aca="false">'Encoded Data'!F60</f>
        <v>26.41</v>
      </c>
      <c r="C60" s="4" t="n">
        <f aca="false">'Encoded Data'!E60</f>
        <v>2</v>
      </c>
      <c r="D60" s="4" t="n">
        <f aca="false">'Encoded Data'!A60</f>
        <v>0</v>
      </c>
      <c r="E60" s="4" t="n">
        <f aca="false">'Encoded Data'!B60</f>
        <v>0</v>
      </c>
      <c r="F60" s="4" t="n">
        <f aca="false">'Encoded Data'!C60</f>
        <v>3</v>
      </c>
      <c r="G60" s="4" t="n">
        <f aca="false">'Encoded Data'!D60</f>
        <v>1</v>
      </c>
      <c r="H60" s="10" t="n">
        <f aca="false">'Encoded Data'!G60</f>
        <v>1.5</v>
      </c>
      <c r="I60" s="10" t="n">
        <f aca="false">0.675081+0.094264*B60+0.174964*C60+-0.036633*D60+-0.072844*E60+0.053005*F60+-0.116006*G60</f>
        <v>3.55753024</v>
      </c>
      <c r="J60" s="10" t="n">
        <f aca="false">H60-I60</f>
        <v>-2.05753024</v>
      </c>
    </row>
    <row r="61" customFormat="false" ht="15" hidden="false" customHeight="false" outlineLevel="0" collapsed="false">
      <c r="A61" s="3" t="n">
        <v>59</v>
      </c>
      <c r="B61" s="3" t="n">
        <f aca="false">'Encoded Data'!F61</f>
        <v>11.24</v>
      </c>
      <c r="C61" s="3" t="n">
        <f aca="false">'Encoded Data'!E61</f>
        <v>2</v>
      </c>
      <c r="D61" s="3" t="n">
        <f aca="false">'Encoded Data'!A61</f>
        <v>1</v>
      </c>
      <c r="E61" s="3" t="n">
        <f aca="false">'Encoded Data'!B61</f>
        <v>1</v>
      </c>
      <c r="F61" s="3" t="n">
        <f aca="false">'Encoded Data'!C61</f>
        <v>3</v>
      </c>
      <c r="G61" s="3" t="n">
        <f aca="false">'Encoded Data'!D61</f>
        <v>1</v>
      </c>
      <c r="H61" s="8" t="n">
        <f aca="false">'Encoded Data'!G61</f>
        <v>1.76</v>
      </c>
      <c r="I61" s="8" t="n">
        <f aca="false">0.675081+0.094264*B61+0.174964*C61+-0.036633*D61+-0.072844*E61+0.053005*F61+-0.116006*G61</f>
        <v>2.01806836</v>
      </c>
      <c r="J61" s="8" t="n">
        <f aca="false">H61-I61</f>
        <v>-0.25806836</v>
      </c>
    </row>
    <row r="62" customFormat="false" ht="15" hidden="false" customHeight="false" outlineLevel="0" collapsed="false">
      <c r="A62" s="4" t="n">
        <v>60</v>
      </c>
      <c r="B62" s="4" t="n">
        <f aca="false">'Encoded Data'!F62</f>
        <v>48.27</v>
      </c>
      <c r="C62" s="4" t="n">
        <f aca="false">'Encoded Data'!E62</f>
        <v>4</v>
      </c>
      <c r="D62" s="4" t="n">
        <f aca="false">'Encoded Data'!A62</f>
        <v>1</v>
      </c>
      <c r="E62" s="4" t="n">
        <f aca="false">'Encoded Data'!B62</f>
        <v>0</v>
      </c>
      <c r="F62" s="4" t="n">
        <f aca="false">'Encoded Data'!C62</f>
        <v>3</v>
      </c>
      <c r="G62" s="4" t="n">
        <f aca="false">'Encoded Data'!D62</f>
        <v>1</v>
      </c>
      <c r="H62" s="10" t="n">
        <f aca="false">'Encoded Data'!G62</f>
        <v>6.73</v>
      </c>
      <c r="I62" s="10" t="n">
        <f aca="false">0.675081+0.094264*B62+0.174964*C62+-0.036633*D62+-0.072844*E62+0.053005*F62+-0.116006*G62</f>
        <v>5.93143628</v>
      </c>
      <c r="J62" s="10" t="n">
        <f aca="false">H62-I62</f>
        <v>0.79856372</v>
      </c>
    </row>
    <row r="63" customFormat="false" ht="15" hidden="false" customHeight="false" outlineLevel="0" collapsed="false">
      <c r="A63" s="3" t="n">
        <v>61</v>
      </c>
      <c r="B63" s="3" t="n">
        <f aca="false">'Encoded Data'!F63</f>
        <v>20.29</v>
      </c>
      <c r="C63" s="3" t="n">
        <f aca="false">'Encoded Data'!E63</f>
        <v>2</v>
      </c>
      <c r="D63" s="3" t="n">
        <f aca="false">'Encoded Data'!A63</f>
        <v>1</v>
      </c>
      <c r="E63" s="3" t="n">
        <f aca="false">'Encoded Data'!B63</f>
        <v>1</v>
      </c>
      <c r="F63" s="3" t="n">
        <f aca="false">'Encoded Data'!C63</f>
        <v>3</v>
      </c>
      <c r="G63" s="3" t="n">
        <f aca="false">'Encoded Data'!D63</f>
        <v>1</v>
      </c>
      <c r="H63" s="8" t="n">
        <f aca="false">'Encoded Data'!G63</f>
        <v>3.21</v>
      </c>
      <c r="I63" s="8" t="n">
        <f aca="false">0.675081+0.094264*B63+0.174964*C63+-0.036633*D63+-0.072844*E63+0.053005*F63+-0.116006*G63</f>
        <v>2.87115756</v>
      </c>
      <c r="J63" s="8" t="n">
        <f aca="false">H63-I63</f>
        <v>0.33884244</v>
      </c>
    </row>
    <row r="64" customFormat="false" ht="15" hidden="false" customHeight="false" outlineLevel="0" collapsed="false">
      <c r="A64" s="4" t="n">
        <v>62</v>
      </c>
      <c r="B64" s="4" t="n">
        <f aca="false">'Encoded Data'!F64</f>
        <v>13.81</v>
      </c>
      <c r="C64" s="4" t="n">
        <f aca="false">'Encoded Data'!E64</f>
        <v>2</v>
      </c>
      <c r="D64" s="4" t="n">
        <f aca="false">'Encoded Data'!A64</f>
        <v>1</v>
      </c>
      <c r="E64" s="4" t="n">
        <f aca="false">'Encoded Data'!B64</f>
        <v>1</v>
      </c>
      <c r="F64" s="4" t="n">
        <f aca="false">'Encoded Data'!C64</f>
        <v>3</v>
      </c>
      <c r="G64" s="4" t="n">
        <f aca="false">'Encoded Data'!D64</f>
        <v>1</v>
      </c>
      <c r="H64" s="10" t="n">
        <f aca="false">'Encoded Data'!G64</f>
        <v>2</v>
      </c>
      <c r="I64" s="10" t="n">
        <f aca="false">0.675081+0.094264*B64+0.174964*C64+-0.036633*D64+-0.072844*E64+0.053005*F64+-0.116006*G64</f>
        <v>2.26032684</v>
      </c>
      <c r="J64" s="10" t="n">
        <f aca="false">H64-I64</f>
        <v>-0.26032684</v>
      </c>
    </row>
    <row r="65" customFormat="false" ht="15" hidden="false" customHeight="false" outlineLevel="0" collapsed="false">
      <c r="A65" s="3" t="n">
        <v>63</v>
      </c>
      <c r="B65" s="3" t="n">
        <f aca="false">'Encoded Data'!F65</f>
        <v>11.02</v>
      </c>
      <c r="C65" s="3" t="n">
        <f aca="false">'Encoded Data'!E65</f>
        <v>2</v>
      </c>
      <c r="D65" s="3" t="n">
        <f aca="false">'Encoded Data'!A65</f>
        <v>1</v>
      </c>
      <c r="E65" s="3" t="n">
        <f aca="false">'Encoded Data'!B65</f>
        <v>1</v>
      </c>
      <c r="F65" s="3" t="n">
        <f aca="false">'Encoded Data'!C65</f>
        <v>3</v>
      </c>
      <c r="G65" s="3" t="n">
        <f aca="false">'Encoded Data'!D65</f>
        <v>1</v>
      </c>
      <c r="H65" s="8" t="n">
        <f aca="false">'Encoded Data'!G65</f>
        <v>1.98</v>
      </c>
      <c r="I65" s="8" t="n">
        <f aca="false">0.675081+0.094264*B65+0.174964*C65+-0.036633*D65+-0.072844*E65+0.053005*F65+-0.116006*G65</f>
        <v>1.99733028</v>
      </c>
      <c r="J65" s="8" t="n">
        <f aca="false">H65-I65</f>
        <v>-0.0173302800000004</v>
      </c>
    </row>
    <row r="66" customFormat="false" ht="15" hidden="false" customHeight="false" outlineLevel="0" collapsed="false">
      <c r="A66" s="4" t="n">
        <v>64</v>
      </c>
      <c r="B66" s="4" t="n">
        <f aca="false">'Encoded Data'!F66</f>
        <v>18.29</v>
      </c>
      <c r="C66" s="4" t="n">
        <f aca="false">'Encoded Data'!E66</f>
        <v>4</v>
      </c>
      <c r="D66" s="4" t="n">
        <f aca="false">'Encoded Data'!A66</f>
        <v>1</v>
      </c>
      <c r="E66" s="4" t="n">
        <f aca="false">'Encoded Data'!B66</f>
        <v>1</v>
      </c>
      <c r="F66" s="4" t="n">
        <f aca="false">'Encoded Data'!C66</f>
        <v>3</v>
      </c>
      <c r="G66" s="4" t="n">
        <f aca="false">'Encoded Data'!D66</f>
        <v>1</v>
      </c>
      <c r="H66" s="10" t="n">
        <f aca="false">'Encoded Data'!G66</f>
        <v>3.76</v>
      </c>
      <c r="I66" s="10" t="n">
        <f aca="false">0.675081+0.094264*B66+0.174964*C66+-0.036633*D66+-0.072844*E66+0.053005*F66+-0.116006*G66</f>
        <v>3.03255756</v>
      </c>
      <c r="J66" s="10" t="n">
        <f aca="false">H66-I66</f>
        <v>0.72744244</v>
      </c>
    </row>
    <row r="67" customFormat="false" ht="15" hidden="false" customHeight="false" outlineLevel="0" collapsed="false">
      <c r="A67" s="3" t="n">
        <v>65</v>
      </c>
      <c r="B67" s="3" t="n">
        <f aca="false">'Encoded Data'!F67</f>
        <v>17.59</v>
      </c>
      <c r="C67" s="3" t="n">
        <f aca="false">'Encoded Data'!E67</f>
        <v>3</v>
      </c>
      <c r="D67" s="3" t="n">
        <f aca="false">'Encoded Data'!A67</f>
        <v>1</v>
      </c>
      <c r="E67" s="3" t="n">
        <f aca="false">'Encoded Data'!B67</f>
        <v>0</v>
      </c>
      <c r="F67" s="3" t="n">
        <f aca="false">'Encoded Data'!C67</f>
        <v>3</v>
      </c>
      <c r="G67" s="3" t="n">
        <f aca="false">'Encoded Data'!D67</f>
        <v>1</v>
      </c>
      <c r="H67" s="8" t="n">
        <f aca="false">'Encoded Data'!G67</f>
        <v>2.64</v>
      </c>
      <c r="I67" s="8" t="n">
        <f aca="false">0.675081+0.094264*B67+0.174964*C67+-0.036633*D67+-0.072844*E67+0.053005*F67+-0.116006*G67</f>
        <v>2.86445276</v>
      </c>
      <c r="J67" s="8" t="n">
        <f aca="false">H67-I67</f>
        <v>-0.22445276</v>
      </c>
    </row>
    <row r="68" customFormat="false" ht="15" hidden="false" customHeight="false" outlineLevel="0" collapsed="false">
      <c r="A68" s="4" t="n">
        <v>66</v>
      </c>
      <c r="B68" s="4" t="n">
        <f aca="false">'Encoded Data'!F68</f>
        <v>20.08</v>
      </c>
      <c r="C68" s="4" t="n">
        <f aca="false">'Encoded Data'!E68</f>
        <v>3</v>
      </c>
      <c r="D68" s="4" t="n">
        <f aca="false">'Encoded Data'!A68</f>
        <v>1</v>
      </c>
      <c r="E68" s="4" t="n">
        <f aca="false">'Encoded Data'!B68</f>
        <v>0</v>
      </c>
      <c r="F68" s="4" t="n">
        <f aca="false">'Encoded Data'!C68</f>
        <v>3</v>
      </c>
      <c r="G68" s="4" t="n">
        <f aca="false">'Encoded Data'!D68</f>
        <v>1</v>
      </c>
      <c r="H68" s="10" t="n">
        <f aca="false">'Encoded Data'!G68</f>
        <v>3.15</v>
      </c>
      <c r="I68" s="10" t="n">
        <f aca="false">0.675081+0.094264*B68+0.174964*C68+-0.036633*D68+-0.072844*E68+0.053005*F68+-0.116006*G68</f>
        <v>3.09917012</v>
      </c>
      <c r="J68" s="10" t="n">
        <f aca="false">H68-I68</f>
        <v>0.0508298800000002</v>
      </c>
    </row>
    <row r="69" customFormat="false" ht="15" hidden="false" customHeight="false" outlineLevel="0" collapsed="false">
      <c r="A69" s="3" t="n">
        <v>67</v>
      </c>
      <c r="B69" s="3" t="n">
        <f aca="false">'Encoded Data'!F69</f>
        <v>16.45</v>
      </c>
      <c r="C69" s="3" t="n">
        <f aca="false">'Encoded Data'!E69</f>
        <v>2</v>
      </c>
      <c r="D69" s="3" t="n">
        <f aca="false">'Encoded Data'!A69</f>
        <v>0</v>
      </c>
      <c r="E69" s="3" t="n">
        <f aca="false">'Encoded Data'!B69</f>
        <v>0</v>
      </c>
      <c r="F69" s="3" t="n">
        <f aca="false">'Encoded Data'!C69</f>
        <v>3</v>
      </c>
      <c r="G69" s="3" t="n">
        <f aca="false">'Encoded Data'!D69</f>
        <v>1</v>
      </c>
      <c r="H69" s="8" t="n">
        <f aca="false">'Encoded Data'!G69</f>
        <v>2.47</v>
      </c>
      <c r="I69" s="8" t="n">
        <f aca="false">0.675081+0.094264*B69+0.174964*C69+-0.036633*D69+-0.072844*E69+0.053005*F69+-0.116006*G69</f>
        <v>2.6186608</v>
      </c>
      <c r="J69" s="8" t="n">
        <f aca="false">H69-I69</f>
        <v>-0.1486608</v>
      </c>
    </row>
    <row r="70" customFormat="false" ht="15" hidden="false" customHeight="false" outlineLevel="0" collapsed="false">
      <c r="A70" s="4" t="n">
        <v>68</v>
      </c>
      <c r="B70" s="4" t="n">
        <f aca="false">'Encoded Data'!F70</f>
        <v>3.07</v>
      </c>
      <c r="C70" s="4" t="n">
        <f aca="false">'Encoded Data'!E70</f>
        <v>1</v>
      </c>
      <c r="D70" s="4" t="n">
        <f aca="false">'Encoded Data'!A70</f>
        <v>0</v>
      </c>
      <c r="E70" s="4" t="n">
        <f aca="false">'Encoded Data'!B70</f>
        <v>1</v>
      </c>
      <c r="F70" s="4" t="n">
        <f aca="false">'Encoded Data'!C70</f>
        <v>3</v>
      </c>
      <c r="G70" s="4" t="n">
        <f aca="false">'Encoded Data'!D70</f>
        <v>1</v>
      </c>
      <c r="H70" s="10" t="n">
        <f aca="false">'Encoded Data'!G70</f>
        <v>1</v>
      </c>
      <c r="I70" s="10" t="n">
        <f aca="false">0.675081+0.094264*B70+0.174964*C70+-0.036633*D70+-0.072844*E70+0.053005*F70+-0.116006*G70</f>
        <v>1.10960048</v>
      </c>
      <c r="J70" s="10" t="n">
        <f aca="false">H70-I70</f>
        <v>-0.10960048</v>
      </c>
    </row>
    <row r="71" customFormat="false" ht="15" hidden="false" customHeight="false" outlineLevel="0" collapsed="false">
      <c r="A71" s="3" t="n">
        <v>69</v>
      </c>
      <c r="B71" s="3" t="n">
        <f aca="false">'Encoded Data'!F71</f>
        <v>20.23</v>
      </c>
      <c r="C71" s="3" t="n">
        <f aca="false">'Encoded Data'!E71</f>
        <v>2</v>
      </c>
      <c r="D71" s="3" t="n">
        <f aca="false">'Encoded Data'!A71</f>
        <v>1</v>
      </c>
      <c r="E71" s="3" t="n">
        <f aca="false">'Encoded Data'!B71</f>
        <v>0</v>
      </c>
      <c r="F71" s="3" t="n">
        <f aca="false">'Encoded Data'!C71</f>
        <v>3</v>
      </c>
      <c r="G71" s="3" t="n">
        <f aca="false">'Encoded Data'!D71</f>
        <v>1</v>
      </c>
      <c r="H71" s="8" t="n">
        <f aca="false">'Encoded Data'!G71</f>
        <v>2.01</v>
      </c>
      <c r="I71" s="8" t="n">
        <f aca="false">0.675081+0.094264*B71+0.174964*C71+-0.036633*D71+-0.072844*E71+0.053005*F71+-0.116006*G71</f>
        <v>2.93834572</v>
      </c>
      <c r="J71" s="8" t="n">
        <f aca="false">H71-I71</f>
        <v>-0.928345720000001</v>
      </c>
    </row>
    <row r="72" customFormat="false" ht="15" hidden="false" customHeight="false" outlineLevel="0" collapsed="false">
      <c r="A72" s="4" t="n">
        <v>70</v>
      </c>
      <c r="B72" s="4" t="n">
        <f aca="false">'Encoded Data'!F72</f>
        <v>15.01</v>
      </c>
      <c r="C72" s="4" t="n">
        <f aca="false">'Encoded Data'!E72</f>
        <v>2</v>
      </c>
      <c r="D72" s="4" t="n">
        <f aca="false">'Encoded Data'!A72</f>
        <v>1</v>
      </c>
      <c r="E72" s="4" t="n">
        <f aca="false">'Encoded Data'!B72</f>
        <v>1</v>
      </c>
      <c r="F72" s="4" t="n">
        <f aca="false">'Encoded Data'!C72</f>
        <v>3</v>
      </c>
      <c r="G72" s="4" t="n">
        <f aca="false">'Encoded Data'!D72</f>
        <v>1</v>
      </c>
      <c r="H72" s="10" t="n">
        <f aca="false">'Encoded Data'!G72</f>
        <v>2.09</v>
      </c>
      <c r="I72" s="10" t="n">
        <f aca="false">0.675081+0.094264*B72+0.174964*C72+-0.036633*D72+-0.072844*E72+0.053005*F72+-0.116006*G72</f>
        <v>2.37344364</v>
      </c>
      <c r="J72" s="10" t="n">
        <f aca="false">H72-I72</f>
        <v>-0.28344364</v>
      </c>
    </row>
    <row r="73" customFormat="false" ht="15" hidden="false" customHeight="false" outlineLevel="0" collapsed="false">
      <c r="A73" s="3" t="n">
        <v>71</v>
      </c>
      <c r="B73" s="3" t="n">
        <f aca="false">'Encoded Data'!F73</f>
        <v>12.02</v>
      </c>
      <c r="C73" s="3" t="n">
        <f aca="false">'Encoded Data'!E73</f>
        <v>2</v>
      </c>
      <c r="D73" s="3" t="n">
        <f aca="false">'Encoded Data'!A73</f>
        <v>1</v>
      </c>
      <c r="E73" s="3" t="n">
        <f aca="false">'Encoded Data'!B73</f>
        <v>0</v>
      </c>
      <c r="F73" s="3" t="n">
        <f aca="false">'Encoded Data'!C73</f>
        <v>3</v>
      </c>
      <c r="G73" s="3" t="n">
        <f aca="false">'Encoded Data'!D73</f>
        <v>1</v>
      </c>
      <c r="H73" s="8" t="n">
        <f aca="false">'Encoded Data'!G73</f>
        <v>1.97</v>
      </c>
      <c r="I73" s="8" t="n">
        <f aca="false">0.675081+0.094264*B73+0.174964*C73+-0.036633*D73+-0.072844*E73+0.053005*F73+-0.116006*G73</f>
        <v>2.16443828</v>
      </c>
      <c r="J73" s="8" t="n">
        <f aca="false">H73-I73</f>
        <v>-0.19443828</v>
      </c>
    </row>
    <row r="74" customFormat="false" ht="15" hidden="false" customHeight="false" outlineLevel="0" collapsed="false">
      <c r="A74" s="4" t="n">
        <v>72</v>
      </c>
      <c r="B74" s="4" t="n">
        <f aca="false">'Encoded Data'!F74</f>
        <v>17.07</v>
      </c>
      <c r="C74" s="4" t="n">
        <f aca="false">'Encoded Data'!E74</f>
        <v>3</v>
      </c>
      <c r="D74" s="4" t="n">
        <f aca="false">'Encoded Data'!A74</f>
        <v>0</v>
      </c>
      <c r="E74" s="4" t="n">
        <f aca="false">'Encoded Data'!B74</f>
        <v>0</v>
      </c>
      <c r="F74" s="4" t="n">
        <f aca="false">'Encoded Data'!C74</f>
        <v>3</v>
      </c>
      <c r="G74" s="4" t="n">
        <f aca="false">'Encoded Data'!D74</f>
        <v>1</v>
      </c>
      <c r="H74" s="10" t="n">
        <f aca="false">'Encoded Data'!G74</f>
        <v>3</v>
      </c>
      <c r="I74" s="10" t="n">
        <f aca="false">0.675081+0.094264*B74+0.174964*C74+-0.036633*D74+-0.072844*E74+0.053005*F74+-0.116006*G74</f>
        <v>2.85206848</v>
      </c>
      <c r="J74" s="10" t="n">
        <f aca="false">H74-I74</f>
        <v>0.14793152</v>
      </c>
    </row>
    <row r="75" customFormat="false" ht="15" hidden="false" customHeight="false" outlineLevel="0" collapsed="false">
      <c r="A75" s="3" t="n">
        <v>73</v>
      </c>
      <c r="B75" s="3" t="n">
        <f aca="false">'Encoded Data'!F75</f>
        <v>26.86</v>
      </c>
      <c r="C75" s="3" t="n">
        <f aca="false">'Encoded Data'!E75</f>
        <v>2</v>
      </c>
      <c r="D75" s="3" t="n">
        <f aca="false">'Encoded Data'!A75</f>
        <v>0</v>
      </c>
      <c r="E75" s="3" t="n">
        <f aca="false">'Encoded Data'!B75</f>
        <v>1</v>
      </c>
      <c r="F75" s="3" t="n">
        <f aca="false">'Encoded Data'!C75</f>
        <v>3</v>
      </c>
      <c r="G75" s="3" t="n">
        <f aca="false">'Encoded Data'!D75</f>
        <v>1</v>
      </c>
      <c r="H75" s="8" t="n">
        <f aca="false">'Encoded Data'!G75</f>
        <v>3.14</v>
      </c>
      <c r="I75" s="8" t="n">
        <f aca="false">0.675081+0.094264*B75+0.174964*C75+-0.036633*D75+-0.072844*E75+0.053005*F75+-0.116006*G75</f>
        <v>3.52710504</v>
      </c>
      <c r="J75" s="8" t="n">
        <f aca="false">H75-I75</f>
        <v>-0.38710504</v>
      </c>
    </row>
    <row r="76" customFormat="false" ht="15" hidden="false" customHeight="false" outlineLevel="0" collapsed="false">
      <c r="A76" s="4" t="n">
        <v>74</v>
      </c>
      <c r="B76" s="4" t="n">
        <f aca="false">'Encoded Data'!F76</f>
        <v>25.28</v>
      </c>
      <c r="C76" s="4" t="n">
        <f aca="false">'Encoded Data'!E76</f>
        <v>2</v>
      </c>
      <c r="D76" s="4" t="n">
        <f aca="false">'Encoded Data'!A76</f>
        <v>0</v>
      </c>
      <c r="E76" s="4" t="n">
        <f aca="false">'Encoded Data'!B76</f>
        <v>1</v>
      </c>
      <c r="F76" s="4" t="n">
        <f aca="false">'Encoded Data'!C76</f>
        <v>3</v>
      </c>
      <c r="G76" s="4" t="n">
        <f aca="false">'Encoded Data'!D76</f>
        <v>1</v>
      </c>
      <c r="H76" s="10" t="n">
        <f aca="false">'Encoded Data'!G76</f>
        <v>5</v>
      </c>
      <c r="I76" s="10" t="n">
        <f aca="false">0.675081+0.094264*B76+0.174964*C76+-0.036633*D76+-0.072844*E76+0.053005*F76+-0.116006*G76</f>
        <v>3.37816792</v>
      </c>
      <c r="J76" s="10" t="n">
        <f aca="false">H76-I76</f>
        <v>1.62183208</v>
      </c>
    </row>
    <row r="77" customFormat="false" ht="15" hidden="false" customHeight="false" outlineLevel="0" collapsed="false">
      <c r="A77" s="3" t="n">
        <v>75</v>
      </c>
      <c r="B77" s="3" t="n">
        <f aca="false">'Encoded Data'!F77</f>
        <v>14.73</v>
      </c>
      <c r="C77" s="3" t="n">
        <f aca="false">'Encoded Data'!E77</f>
        <v>2</v>
      </c>
      <c r="D77" s="3" t="n">
        <f aca="false">'Encoded Data'!A77</f>
        <v>0</v>
      </c>
      <c r="E77" s="3" t="n">
        <f aca="false">'Encoded Data'!B77</f>
        <v>0</v>
      </c>
      <c r="F77" s="3" t="n">
        <f aca="false">'Encoded Data'!C77</f>
        <v>3</v>
      </c>
      <c r="G77" s="3" t="n">
        <f aca="false">'Encoded Data'!D77</f>
        <v>1</v>
      </c>
      <c r="H77" s="8" t="n">
        <f aca="false">'Encoded Data'!G77</f>
        <v>2.2</v>
      </c>
      <c r="I77" s="8" t="n">
        <f aca="false">0.675081+0.094264*B77+0.174964*C77+-0.036633*D77+-0.072844*E77+0.053005*F77+-0.116006*G77</f>
        <v>2.45652672</v>
      </c>
      <c r="J77" s="8" t="n">
        <f aca="false">H77-I77</f>
        <v>-0.256526720000001</v>
      </c>
    </row>
    <row r="78" customFormat="false" ht="15" hidden="false" customHeight="false" outlineLevel="0" collapsed="false">
      <c r="A78" s="4" t="n">
        <v>76</v>
      </c>
      <c r="B78" s="4" t="n">
        <f aca="false">'Encoded Data'!F78</f>
        <v>10.51</v>
      </c>
      <c r="C78" s="4" t="n">
        <f aca="false">'Encoded Data'!E78</f>
        <v>2</v>
      </c>
      <c r="D78" s="4" t="n">
        <f aca="false">'Encoded Data'!A78</f>
        <v>1</v>
      </c>
      <c r="E78" s="4" t="n">
        <f aca="false">'Encoded Data'!B78</f>
        <v>0</v>
      </c>
      <c r="F78" s="4" t="n">
        <f aca="false">'Encoded Data'!C78</f>
        <v>3</v>
      </c>
      <c r="G78" s="4" t="n">
        <f aca="false">'Encoded Data'!D78</f>
        <v>1</v>
      </c>
      <c r="H78" s="10" t="n">
        <f aca="false">'Encoded Data'!G78</f>
        <v>1.25</v>
      </c>
      <c r="I78" s="10" t="n">
        <f aca="false">0.675081+0.094264*B78+0.174964*C78+-0.036633*D78+-0.072844*E78+0.053005*F78+-0.116006*G78</f>
        <v>2.02209964</v>
      </c>
      <c r="J78" s="10" t="n">
        <f aca="false">H78-I78</f>
        <v>-0.77209964</v>
      </c>
    </row>
    <row r="79" customFormat="false" ht="15" hidden="false" customHeight="false" outlineLevel="0" collapsed="false">
      <c r="A79" s="3" t="n">
        <v>77</v>
      </c>
      <c r="B79" s="3" t="n">
        <f aca="false">'Encoded Data'!F79</f>
        <v>17.92</v>
      </c>
      <c r="C79" s="3" t="n">
        <f aca="false">'Encoded Data'!E79</f>
        <v>2</v>
      </c>
      <c r="D79" s="3" t="n">
        <f aca="false">'Encoded Data'!A79</f>
        <v>1</v>
      </c>
      <c r="E79" s="3" t="n">
        <f aca="false">'Encoded Data'!B79</f>
        <v>1</v>
      </c>
      <c r="F79" s="3" t="n">
        <f aca="false">'Encoded Data'!C79</f>
        <v>3</v>
      </c>
      <c r="G79" s="3" t="n">
        <f aca="false">'Encoded Data'!D79</f>
        <v>1</v>
      </c>
      <c r="H79" s="8" t="n">
        <f aca="false">'Encoded Data'!G79</f>
        <v>3.08</v>
      </c>
      <c r="I79" s="8" t="n">
        <f aca="false">0.675081+0.094264*B79+0.174964*C79+-0.036633*D79+-0.072844*E79+0.053005*F79+-0.116006*G79</f>
        <v>2.64775188</v>
      </c>
      <c r="J79" s="8" t="n">
        <f aca="false">H79-I79</f>
        <v>0.43224812</v>
      </c>
    </row>
    <row r="80" customFormat="false" ht="15" hidden="false" customHeight="false" outlineLevel="0" collapsed="false">
      <c r="A80" s="4" t="n">
        <v>78</v>
      </c>
      <c r="B80" s="4" t="n">
        <f aca="false">'Encoded Data'!F80</f>
        <v>27.2</v>
      </c>
      <c r="C80" s="4" t="n">
        <f aca="false">'Encoded Data'!E80</f>
        <v>4</v>
      </c>
      <c r="D80" s="4" t="n">
        <f aca="false">'Encoded Data'!A80</f>
        <v>1</v>
      </c>
      <c r="E80" s="4" t="n">
        <f aca="false">'Encoded Data'!B80</f>
        <v>0</v>
      </c>
      <c r="F80" s="4" t="n">
        <f aca="false">'Encoded Data'!C80</f>
        <v>1</v>
      </c>
      <c r="G80" s="4" t="n">
        <f aca="false">'Encoded Data'!D80</f>
        <v>0</v>
      </c>
      <c r="H80" s="10" t="n">
        <f aca="false">'Encoded Data'!G80</f>
        <v>4</v>
      </c>
      <c r="I80" s="10" t="n">
        <f aca="false">0.675081+0.094264*B80+0.174964*C80+-0.036633*D80+-0.072844*E80+0.053005*F80+-0.116006*G80</f>
        <v>3.9552898</v>
      </c>
      <c r="J80" s="10" t="n">
        <f aca="false">H80-I80</f>
        <v>0.0447101999999999</v>
      </c>
    </row>
    <row r="81" customFormat="false" ht="15" hidden="false" customHeight="false" outlineLevel="0" collapsed="false">
      <c r="A81" s="3" t="n">
        <v>79</v>
      </c>
      <c r="B81" s="3" t="n">
        <f aca="false">'Encoded Data'!F81</f>
        <v>22.76</v>
      </c>
      <c r="C81" s="3" t="n">
        <f aca="false">'Encoded Data'!E81</f>
        <v>2</v>
      </c>
      <c r="D81" s="3" t="n">
        <f aca="false">'Encoded Data'!A81</f>
        <v>1</v>
      </c>
      <c r="E81" s="3" t="n">
        <f aca="false">'Encoded Data'!B81</f>
        <v>0</v>
      </c>
      <c r="F81" s="3" t="n">
        <f aca="false">'Encoded Data'!C81</f>
        <v>1</v>
      </c>
      <c r="G81" s="3" t="n">
        <f aca="false">'Encoded Data'!D81</f>
        <v>0</v>
      </c>
      <c r="H81" s="8" t="n">
        <f aca="false">'Encoded Data'!G81</f>
        <v>3</v>
      </c>
      <c r="I81" s="8" t="n">
        <f aca="false">0.675081+0.094264*B81+0.174964*C81+-0.036633*D81+-0.072844*E81+0.053005*F81+-0.116006*G81</f>
        <v>3.18682964</v>
      </c>
      <c r="J81" s="8" t="n">
        <f aca="false">H81-I81</f>
        <v>-0.18682964</v>
      </c>
    </row>
    <row r="82" customFormat="false" ht="15" hidden="false" customHeight="false" outlineLevel="0" collapsed="false">
      <c r="A82" s="4" t="n">
        <v>80</v>
      </c>
      <c r="B82" s="4" t="n">
        <f aca="false">'Encoded Data'!F82</f>
        <v>17.29</v>
      </c>
      <c r="C82" s="4" t="n">
        <f aca="false">'Encoded Data'!E82</f>
        <v>2</v>
      </c>
      <c r="D82" s="4" t="n">
        <f aca="false">'Encoded Data'!A82</f>
        <v>1</v>
      </c>
      <c r="E82" s="4" t="n">
        <f aca="false">'Encoded Data'!B82</f>
        <v>0</v>
      </c>
      <c r="F82" s="4" t="n">
        <f aca="false">'Encoded Data'!C82</f>
        <v>1</v>
      </c>
      <c r="G82" s="4" t="n">
        <f aca="false">'Encoded Data'!D82</f>
        <v>0</v>
      </c>
      <c r="H82" s="10" t="n">
        <f aca="false">'Encoded Data'!G82</f>
        <v>2.71</v>
      </c>
      <c r="I82" s="10" t="n">
        <f aca="false">0.675081+0.094264*B82+0.174964*C82+-0.036633*D82+-0.072844*E82+0.053005*F82+-0.116006*G82</f>
        <v>2.67120556</v>
      </c>
      <c r="J82" s="10" t="n">
        <f aca="false">H82-I82</f>
        <v>0.0387944399999998</v>
      </c>
    </row>
    <row r="83" customFormat="false" ht="15" hidden="false" customHeight="false" outlineLevel="0" collapsed="false">
      <c r="A83" s="3" t="n">
        <v>81</v>
      </c>
      <c r="B83" s="3" t="n">
        <f aca="false">'Encoded Data'!F83</f>
        <v>19.44</v>
      </c>
      <c r="C83" s="3" t="n">
        <f aca="false">'Encoded Data'!E83</f>
        <v>2</v>
      </c>
      <c r="D83" s="3" t="n">
        <f aca="false">'Encoded Data'!A83</f>
        <v>1</v>
      </c>
      <c r="E83" s="3" t="n">
        <f aca="false">'Encoded Data'!B83</f>
        <v>1</v>
      </c>
      <c r="F83" s="3" t="n">
        <f aca="false">'Encoded Data'!C83</f>
        <v>1</v>
      </c>
      <c r="G83" s="3" t="n">
        <f aca="false">'Encoded Data'!D83</f>
        <v>0</v>
      </c>
      <c r="H83" s="8" t="n">
        <f aca="false">'Encoded Data'!G83</f>
        <v>3</v>
      </c>
      <c r="I83" s="8" t="n">
        <f aca="false">0.675081+0.094264*B83+0.174964*C83+-0.036633*D83+-0.072844*E83+0.053005*F83+-0.116006*G83</f>
        <v>2.80102916</v>
      </c>
      <c r="J83" s="8" t="n">
        <f aca="false">H83-I83</f>
        <v>0.19897084</v>
      </c>
    </row>
    <row r="84" customFormat="false" ht="15" hidden="false" customHeight="false" outlineLevel="0" collapsed="false">
      <c r="A84" s="4" t="n">
        <v>82</v>
      </c>
      <c r="B84" s="4" t="n">
        <f aca="false">'Encoded Data'!F84</f>
        <v>16.66</v>
      </c>
      <c r="C84" s="4" t="n">
        <f aca="false">'Encoded Data'!E84</f>
        <v>2</v>
      </c>
      <c r="D84" s="4" t="n">
        <f aca="false">'Encoded Data'!A84</f>
        <v>1</v>
      </c>
      <c r="E84" s="4" t="n">
        <f aca="false">'Encoded Data'!B84</f>
        <v>0</v>
      </c>
      <c r="F84" s="4" t="n">
        <f aca="false">'Encoded Data'!C84</f>
        <v>1</v>
      </c>
      <c r="G84" s="4" t="n">
        <f aca="false">'Encoded Data'!D84</f>
        <v>0</v>
      </c>
      <c r="H84" s="10" t="n">
        <f aca="false">'Encoded Data'!G84</f>
        <v>3.4</v>
      </c>
      <c r="I84" s="10" t="n">
        <f aca="false">0.675081+0.094264*B84+0.174964*C84+-0.036633*D84+-0.072844*E84+0.053005*F84+-0.116006*G84</f>
        <v>2.61181924</v>
      </c>
      <c r="J84" s="10" t="n">
        <f aca="false">H84-I84</f>
        <v>0.78818076</v>
      </c>
    </row>
    <row r="85" customFormat="false" ht="15" hidden="false" customHeight="false" outlineLevel="0" collapsed="false">
      <c r="A85" s="3" t="n">
        <v>83</v>
      </c>
      <c r="B85" s="3" t="n">
        <f aca="false">'Encoded Data'!F85</f>
        <v>10.07</v>
      </c>
      <c r="C85" s="3" t="n">
        <f aca="false">'Encoded Data'!E85</f>
        <v>1</v>
      </c>
      <c r="D85" s="3" t="n">
        <f aca="false">'Encoded Data'!A85</f>
        <v>0</v>
      </c>
      <c r="E85" s="3" t="n">
        <f aca="false">'Encoded Data'!B85</f>
        <v>0</v>
      </c>
      <c r="F85" s="3" t="n">
        <f aca="false">'Encoded Data'!C85</f>
        <v>1</v>
      </c>
      <c r="G85" s="3" t="n">
        <f aca="false">'Encoded Data'!D85</f>
        <v>0</v>
      </c>
      <c r="H85" s="8" t="n">
        <f aca="false">'Encoded Data'!G85</f>
        <v>1.83</v>
      </c>
      <c r="I85" s="8" t="n">
        <f aca="false">0.675081+0.094264*B85+0.174964*C85+-0.036633*D85+-0.072844*E85+0.053005*F85+-0.116006*G85</f>
        <v>1.85228848</v>
      </c>
      <c r="J85" s="8" t="n">
        <f aca="false">H85-I85</f>
        <v>-0.0222884800000001</v>
      </c>
    </row>
    <row r="86" customFormat="false" ht="15" hidden="false" customHeight="false" outlineLevel="0" collapsed="false">
      <c r="A86" s="4" t="n">
        <v>84</v>
      </c>
      <c r="B86" s="4" t="n">
        <f aca="false">'Encoded Data'!F86</f>
        <v>32.68</v>
      </c>
      <c r="C86" s="4" t="n">
        <f aca="false">'Encoded Data'!E86</f>
        <v>2</v>
      </c>
      <c r="D86" s="4" t="n">
        <f aca="false">'Encoded Data'!A86</f>
        <v>1</v>
      </c>
      <c r="E86" s="4" t="n">
        <f aca="false">'Encoded Data'!B86</f>
        <v>1</v>
      </c>
      <c r="F86" s="4" t="n">
        <f aca="false">'Encoded Data'!C86</f>
        <v>1</v>
      </c>
      <c r="G86" s="4" t="n">
        <f aca="false">'Encoded Data'!D86</f>
        <v>0</v>
      </c>
      <c r="H86" s="10" t="n">
        <f aca="false">'Encoded Data'!G86</f>
        <v>5</v>
      </c>
      <c r="I86" s="10" t="n">
        <f aca="false">0.675081+0.094264*B86+0.174964*C86+-0.036633*D86+-0.072844*E86+0.053005*F86+-0.116006*G86</f>
        <v>4.04908452</v>
      </c>
      <c r="J86" s="10" t="n">
        <f aca="false">H86-I86</f>
        <v>0.95091548</v>
      </c>
    </row>
    <row r="87" customFormat="false" ht="15" hidden="false" customHeight="false" outlineLevel="0" collapsed="false">
      <c r="A87" s="3" t="n">
        <v>85</v>
      </c>
      <c r="B87" s="3" t="n">
        <f aca="false">'Encoded Data'!F87</f>
        <v>15.98</v>
      </c>
      <c r="C87" s="3" t="n">
        <f aca="false">'Encoded Data'!E87</f>
        <v>2</v>
      </c>
      <c r="D87" s="3" t="n">
        <f aca="false">'Encoded Data'!A87</f>
        <v>1</v>
      </c>
      <c r="E87" s="3" t="n">
        <f aca="false">'Encoded Data'!B87</f>
        <v>0</v>
      </c>
      <c r="F87" s="3" t="n">
        <f aca="false">'Encoded Data'!C87</f>
        <v>1</v>
      </c>
      <c r="G87" s="3" t="n">
        <f aca="false">'Encoded Data'!D87</f>
        <v>0</v>
      </c>
      <c r="H87" s="8" t="n">
        <f aca="false">'Encoded Data'!G87</f>
        <v>2.03</v>
      </c>
      <c r="I87" s="8" t="n">
        <f aca="false">0.675081+0.094264*B87+0.174964*C87+-0.036633*D87+-0.072844*E87+0.053005*F87+-0.116006*G87</f>
        <v>2.54771972</v>
      </c>
      <c r="J87" s="8" t="n">
        <f aca="false">H87-I87</f>
        <v>-0.517719720000001</v>
      </c>
    </row>
    <row r="88" customFormat="false" ht="15" hidden="false" customHeight="false" outlineLevel="0" collapsed="false">
      <c r="A88" s="4" t="n">
        <v>86</v>
      </c>
      <c r="B88" s="4" t="n">
        <f aca="false">'Encoded Data'!F88</f>
        <v>34.83</v>
      </c>
      <c r="C88" s="4" t="n">
        <f aca="false">'Encoded Data'!E88</f>
        <v>4</v>
      </c>
      <c r="D88" s="4" t="n">
        <f aca="false">'Encoded Data'!A88</f>
        <v>0</v>
      </c>
      <c r="E88" s="4" t="n">
        <f aca="false">'Encoded Data'!B88</f>
        <v>0</v>
      </c>
      <c r="F88" s="4" t="n">
        <f aca="false">'Encoded Data'!C88</f>
        <v>1</v>
      </c>
      <c r="G88" s="4" t="n">
        <f aca="false">'Encoded Data'!D88</f>
        <v>0</v>
      </c>
      <c r="H88" s="10" t="n">
        <f aca="false">'Encoded Data'!G88</f>
        <v>5.17</v>
      </c>
      <c r="I88" s="10" t="n">
        <f aca="false">0.675081+0.094264*B88+0.174964*C88+-0.036633*D88+-0.072844*E88+0.053005*F88+-0.116006*G88</f>
        <v>4.71115712</v>
      </c>
      <c r="J88" s="10" t="n">
        <f aca="false">H88-I88</f>
        <v>0.45884288</v>
      </c>
    </row>
    <row r="89" customFormat="false" ht="15" hidden="false" customHeight="false" outlineLevel="0" collapsed="false">
      <c r="A89" s="3" t="n">
        <v>87</v>
      </c>
      <c r="B89" s="3" t="n">
        <f aca="false">'Encoded Data'!F89</f>
        <v>13.03</v>
      </c>
      <c r="C89" s="3" t="n">
        <f aca="false">'Encoded Data'!E89</f>
        <v>2</v>
      </c>
      <c r="D89" s="3" t="n">
        <f aca="false">'Encoded Data'!A89</f>
        <v>1</v>
      </c>
      <c r="E89" s="3" t="n">
        <f aca="false">'Encoded Data'!B89</f>
        <v>0</v>
      </c>
      <c r="F89" s="3" t="n">
        <f aca="false">'Encoded Data'!C89</f>
        <v>1</v>
      </c>
      <c r="G89" s="3" t="n">
        <f aca="false">'Encoded Data'!D89</f>
        <v>0</v>
      </c>
      <c r="H89" s="8" t="n">
        <f aca="false">'Encoded Data'!G89</f>
        <v>2</v>
      </c>
      <c r="I89" s="8" t="n">
        <f aca="false">0.675081+0.094264*B89+0.174964*C89+-0.036633*D89+-0.072844*E89+0.053005*F89+-0.116006*G89</f>
        <v>2.26964092</v>
      </c>
      <c r="J89" s="8" t="n">
        <f aca="false">H89-I89</f>
        <v>-0.26964092</v>
      </c>
    </row>
    <row r="90" customFormat="false" ht="15" hidden="false" customHeight="false" outlineLevel="0" collapsed="false">
      <c r="A90" s="4" t="n">
        <v>88</v>
      </c>
      <c r="B90" s="4" t="n">
        <f aca="false">'Encoded Data'!F90</f>
        <v>18.28</v>
      </c>
      <c r="C90" s="4" t="n">
        <f aca="false">'Encoded Data'!E90</f>
        <v>2</v>
      </c>
      <c r="D90" s="4" t="n">
        <f aca="false">'Encoded Data'!A90</f>
        <v>1</v>
      </c>
      <c r="E90" s="4" t="n">
        <f aca="false">'Encoded Data'!B90</f>
        <v>0</v>
      </c>
      <c r="F90" s="4" t="n">
        <f aca="false">'Encoded Data'!C90</f>
        <v>1</v>
      </c>
      <c r="G90" s="4" t="n">
        <f aca="false">'Encoded Data'!D90</f>
        <v>0</v>
      </c>
      <c r="H90" s="10" t="n">
        <f aca="false">'Encoded Data'!G90</f>
        <v>4</v>
      </c>
      <c r="I90" s="10" t="n">
        <f aca="false">0.675081+0.094264*B90+0.174964*C90+-0.036633*D90+-0.072844*E90+0.053005*F90+-0.116006*G90</f>
        <v>2.76452692</v>
      </c>
      <c r="J90" s="10" t="n">
        <f aca="false">H90-I90</f>
        <v>1.23547308</v>
      </c>
    </row>
    <row r="91" customFormat="false" ht="15" hidden="false" customHeight="false" outlineLevel="0" collapsed="false">
      <c r="A91" s="3" t="n">
        <v>89</v>
      </c>
      <c r="B91" s="3" t="n">
        <f aca="false">'Encoded Data'!F91</f>
        <v>24.71</v>
      </c>
      <c r="C91" s="3" t="n">
        <f aca="false">'Encoded Data'!E91</f>
        <v>2</v>
      </c>
      <c r="D91" s="3" t="n">
        <f aca="false">'Encoded Data'!A91</f>
        <v>1</v>
      </c>
      <c r="E91" s="3" t="n">
        <f aca="false">'Encoded Data'!B91</f>
        <v>0</v>
      </c>
      <c r="F91" s="3" t="n">
        <f aca="false">'Encoded Data'!C91</f>
        <v>1</v>
      </c>
      <c r="G91" s="3" t="n">
        <f aca="false">'Encoded Data'!D91</f>
        <v>0</v>
      </c>
      <c r="H91" s="8" t="n">
        <f aca="false">'Encoded Data'!G91</f>
        <v>5.85</v>
      </c>
      <c r="I91" s="8" t="n">
        <f aca="false">0.675081+0.094264*B91+0.174964*C91+-0.036633*D91+-0.072844*E91+0.053005*F91+-0.116006*G91</f>
        <v>3.37064444</v>
      </c>
      <c r="J91" s="8" t="n">
        <f aca="false">H91-I91</f>
        <v>2.47935556</v>
      </c>
    </row>
    <row r="92" customFormat="false" ht="15" hidden="false" customHeight="false" outlineLevel="0" collapsed="false">
      <c r="A92" s="4" t="n">
        <v>90</v>
      </c>
      <c r="B92" s="4" t="n">
        <f aca="false">'Encoded Data'!F92</f>
        <v>21.16</v>
      </c>
      <c r="C92" s="4" t="n">
        <f aca="false">'Encoded Data'!E92</f>
        <v>2</v>
      </c>
      <c r="D92" s="4" t="n">
        <f aca="false">'Encoded Data'!A92</f>
        <v>1</v>
      </c>
      <c r="E92" s="4" t="n">
        <f aca="false">'Encoded Data'!B92</f>
        <v>0</v>
      </c>
      <c r="F92" s="4" t="n">
        <f aca="false">'Encoded Data'!C92</f>
        <v>1</v>
      </c>
      <c r="G92" s="4" t="n">
        <f aca="false">'Encoded Data'!D92</f>
        <v>0</v>
      </c>
      <c r="H92" s="10" t="n">
        <f aca="false">'Encoded Data'!G92</f>
        <v>3</v>
      </c>
      <c r="I92" s="10" t="n">
        <f aca="false">0.675081+0.094264*B92+0.174964*C92+-0.036633*D92+-0.072844*E92+0.053005*F92+-0.116006*G92</f>
        <v>3.03600724</v>
      </c>
      <c r="J92" s="10" t="n">
        <f aca="false">H92-I92</f>
        <v>-0.0360072400000004</v>
      </c>
    </row>
    <row r="93" customFormat="false" ht="15" hidden="false" customHeight="false" outlineLevel="0" collapsed="false">
      <c r="A93" s="3" t="n">
        <v>91</v>
      </c>
      <c r="B93" s="3" t="n">
        <f aca="false">'Encoded Data'!F93</f>
        <v>28.97</v>
      </c>
      <c r="C93" s="3" t="n">
        <f aca="false">'Encoded Data'!E93</f>
        <v>2</v>
      </c>
      <c r="D93" s="3" t="n">
        <f aca="false">'Encoded Data'!A93</f>
        <v>1</v>
      </c>
      <c r="E93" s="3" t="n">
        <f aca="false">'Encoded Data'!B93</f>
        <v>1</v>
      </c>
      <c r="F93" s="3" t="n">
        <f aca="false">'Encoded Data'!C93</f>
        <v>2</v>
      </c>
      <c r="G93" s="3" t="n">
        <f aca="false">'Encoded Data'!D93</f>
        <v>1</v>
      </c>
      <c r="H93" s="8" t="n">
        <f aca="false">'Encoded Data'!G93</f>
        <v>3</v>
      </c>
      <c r="I93" s="8" t="n">
        <f aca="false">0.675081+0.094264*B93+0.174964*C93+-0.036633*D93+-0.072844*E93+0.053005*F93+-0.116006*G93</f>
        <v>3.63636408</v>
      </c>
      <c r="J93" s="8" t="n">
        <f aca="false">H93-I93</f>
        <v>-0.63636408</v>
      </c>
    </row>
    <row r="94" customFormat="false" ht="15" hidden="false" customHeight="false" outlineLevel="0" collapsed="false">
      <c r="A94" s="4" t="n">
        <v>92</v>
      </c>
      <c r="B94" s="4" t="n">
        <f aca="false">'Encoded Data'!F94</f>
        <v>22.49</v>
      </c>
      <c r="C94" s="4" t="n">
        <f aca="false">'Encoded Data'!E94</f>
        <v>2</v>
      </c>
      <c r="D94" s="4" t="n">
        <f aca="false">'Encoded Data'!A94</f>
        <v>1</v>
      </c>
      <c r="E94" s="4" t="n">
        <f aca="false">'Encoded Data'!B94</f>
        <v>0</v>
      </c>
      <c r="F94" s="4" t="n">
        <f aca="false">'Encoded Data'!C94</f>
        <v>2</v>
      </c>
      <c r="G94" s="4" t="n">
        <f aca="false">'Encoded Data'!D94</f>
        <v>1</v>
      </c>
      <c r="H94" s="10" t="n">
        <f aca="false">'Encoded Data'!G94</f>
        <v>3.5</v>
      </c>
      <c r="I94" s="10" t="n">
        <f aca="false">0.675081+0.094264*B94+0.174964*C94+-0.036633*D94+-0.072844*E94+0.053005*F94+-0.116006*G94</f>
        <v>3.09837736</v>
      </c>
      <c r="J94" s="10" t="n">
        <f aca="false">H94-I94</f>
        <v>0.40162264</v>
      </c>
    </row>
    <row r="95" customFormat="false" ht="15" hidden="false" customHeight="false" outlineLevel="0" collapsed="false">
      <c r="A95" s="3" t="n">
        <v>93</v>
      </c>
      <c r="B95" s="3" t="n">
        <f aca="false">'Encoded Data'!F95</f>
        <v>5.75</v>
      </c>
      <c r="C95" s="3" t="n">
        <f aca="false">'Encoded Data'!E95</f>
        <v>2</v>
      </c>
      <c r="D95" s="3" t="n">
        <f aca="false">'Encoded Data'!A95</f>
        <v>0</v>
      </c>
      <c r="E95" s="3" t="n">
        <f aca="false">'Encoded Data'!B95</f>
        <v>1</v>
      </c>
      <c r="F95" s="3" t="n">
        <f aca="false">'Encoded Data'!C95</f>
        <v>2</v>
      </c>
      <c r="G95" s="3" t="n">
        <f aca="false">'Encoded Data'!D95</f>
        <v>1</v>
      </c>
      <c r="H95" s="8" t="n">
        <f aca="false">'Encoded Data'!G95</f>
        <v>1</v>
      </c>
      <c r="I95" s="8" t="n">
        <f aca="false">0.675081+0.094264*B95+0.174964*C95+-0.036633*D95+-0.072844*E95+0.053005*F95+-0.116006*G95</f>
        <v>1.484187</v>
      </c>
      <c r="J95" s="8" t="n">
        <f aca="false">H95-I95</f>
        <v>-0.484187</v>
      </c>
    </row>
    <row r="96" customFormat="false" ht="15" hidden="false" customHeight="false" outlineLevel="0" collapsed="false">
      <c r="A96" s="4" t="n">
        <v>94</v>
      </c>
      <c r="B96" s="4" t="n">
        <f aca="false">'Encoded Data'!F96</f>
        <v>16.32</v>
      </c>
      <c r="C96" s="4" t="n">
        <f aca="false">'Encoded Data'!E96</f>
        <v>2</v>
      </c>
      <c r="D96" s="4" t="n">
        <f aca="false">'Encoded Data'!A96</f>
        <v>0</v>
      </c>
      <c r="E96" s="4" t="n">
        <f aca="false">'Encoded Data'!B96</f>
        <v>1</v>
      </c>
      <c r="F96" s="4" t="n">
        <f aca="false">'Encoded Data'!C96</f>
        <v>2</v>
      </c>
      <c r="G96" s="4" t="n">
        <f aca="false">'Encoded Data'!D96</f>
        <v>1</v>
      </c>
      <c r="H96" s="10" t="n">
        <f aca="false">'Encoded Data'!G96</f>
        <v>4.3</v>
      </c>
      <c r="I96" s="10" t="n">
        <f aca="false">0.675081+0.094264*B96+0.174964*C96+-0.036633*D96+-0.072844*E96+0.053005*F96+-0.116006*G96</f>
        <v>2.48055748</v>
      </c>
      <c r="J96" s="10" t="n">
        <f aca="false">H96-I96</f>
        <v>1.81944252</v>
      </c>
    </row>
    <row r="97" customFormat="false" ht="15" hidden="false" customHeight="false" outlineLevel="0" collapsed="false">
      <c r="A97" s="3" t="n">
        <v>95</v>
      </c>
      <c r="B97" s="3" t="n">
        <f aca="false">'Encoded Data'!F97</f>
        <v>22.75</v>
      </c>
      <c r="C97" s="3" t="n">
        <f aca="false">'Encoded Data'!E97</f>
        <v>2</v>
      </c>
      <c r="D97" s="3" t="n">
        <f aca="false">'Encoded Data'!A97</f>
        <v>0</v>
      </c>
      <c r="E97" s="3" t="n">
        <f aca="false">'Encoded Data'!B97</f>
        <v>0</v>
      </c>
      <c r="F97" s="3" t="n">
        <f aca="false">'Encoded Data'!C97</f>
        <v>2</v>
      </c>
      <c r="G97" s="3" t="n">
        <f aca="false">'Encoded Data'!D97</f>
        <v>1</v>
      </c>
      <c r="H97" s="8" t="n">
        <f aca="false">'Encoded Data'!G97</f>
        <v>3.25</v>
      </c>
      <c r="I97" s="8" t="n">
        <f aca="false">0.675081+0.094264*B97+0.174964*C97+-0.036633*D97+-0.072844*E97+0.053005*F97+-0.116006*G97</f>
        <v>3.159519</v>
      </c>
      <c r="J97" s="8" t="n">
        <f aca="false">H97-I97</f>
        <v>0.0904810000000005</v>
      </c>
    </row>
    <row r="98" customFormat="false" ht="15" hidden="false" customHeight="false" outlineLevel="0" collapsed="false">
      <c r="A98" s="4" t="n">
        <v>96</v>
      </c>
      <c r="B98" s="4" t="n">
        <f aca="false">'Encoded Data'!F98</f>
        <v>40.17</v>
      </c>
      <c r="C98" s="4" t="n">
        <f aca="false">'Encoded Data'!E98</f>
        <v>4</v>
      </c>
      <c r="D98" s="4" t="n">
        <f aca="false">'Encoded Data'!A98</f>
        <v>1</v>
      </c>
      <c r="E98" s="4" t="n">
        <f aca="false">'Encoded Data'!B98</f>
        <v>1</v>
      </c>
      <c r="F98" s="4" t="n">
        <f aca="false">'Encoded Data'!C98</f>
        <v>2</v>
      </c>
      <c r="G98" s="4" t="n">
        <f aca="false">'Encoded Data'!D98</f>
        <v>1</v>
      </c>
      <c r="H98" s="10" t="n">
        <f aca="false">'Encoded Data'!G98</f>
        <v>4.73</v>
      </c>
      <c r="I98" s="10" t="n">
        <f aca="false">0.675081+0.094264*B98+0.174964*C98+-0.036633*D98+-0.072844*E98+0.053005*F98+-0.116006*G98</f>
        <v>5.04204888</v>
      </c>
      <c r="J98" s="10" t="n">
        <f aca="false">H98-I98</f>
        <v>-0.312048880000001</v>
      </c>
    </row>
    <row r="99" customFormat="false" ht="15" hidden="false" customHeight="false" outlineLevel="0" collapsed="false">
      <c r="A99" s="3" t="n">
        <v>97</v>
      </c>
      <c r="B99" s="3" t="n">
        <f aca="false">'Encoded Data'!F99</f>
        <v>27.28</v>
      </c>
      <c r="C99" s="3" t="n">
        <f aca="false">'Encoded Data'!E99</f>
        <v>2</v>
      </c>
      <c r="D99" s="3" t="n">
        <f aca="false">'Encoded Data'!A99</f>
        <v>1</v>
      </c>
      <c r="E99" s="3" t="n">
        <f aca="false">'Encoded Data'!B99</f>
        <v>1</v>
      </c>
      <c r="F99" s="3" t="n">
        <f aca="false">'Encoded Data'!C99</f>
        <v>2</v>
      </c>
      <c r="G99" s="3" t="n">
        <f aca="false">'Encoded Data'!D99</f>
        <v>1</v>
      </c>
      <c r="H99" s="8" t="n">
        <f aca="false">'Encoded Data'!G99</f>
        <v>4</v>
      </c>
      <c r="I99" s="8" t="n">
        <f aca="false">0.675081+0.094264*B99+0.174964*C99+-0.036633*D99+-0.072844*E99+0.053005*F99+-0.116006*G99</f>
        <v>3.47705792</v>
      </c>
      <c r="J99" s="8" t="n">
        <f aca="false">H99-I99</f>
        <v>0.52294208</v>
      </c>
    </row>
    <row r="100" customFormat="false" ht="15" hidden="false" customHeight="false" outlineLevel="0" collapsed="false">
      <c r="A100" s="4" t="n">
        <v>98</v>
      </c>
      <c r="B100" s="4" t="n">
        <f aca="false">'Encoded Data'!F100</f>
        <v>12.03</v>
      </c>
      <c r="C100" s="4" t="n">
        <f aca="false">'Encoded Data'!E100</f>
        <v>2</v>
      </c>
      <c r="D100" s="4" t="n">
        <f aca="false">'Encoded Data'!A100</f>
        <v>1</v>
      </c>
      <c r="E100" s="4" t="n">
        <f aca="false">'Encoded Data'!B100</f>
        <v>1</v>
      </c>
      <c r="F100" s="4" t="n">
        <f aca="false">'Encoded Data'!C100</f>
        <v>2</v>
      </c>
      <c r="G100" s="4" t="n">
        <f aca="false">'Encoded Data'!D100</f>
        <v>1</v>
      </c>
      <c r="H100" s="10" t="n">
        <f aca="false">'Encoded Data'!G100</f>
        <v>1.5</v>
      </c>
      <c r="I100" s="10" t="n">
        <f aca="false">0.675081+0.094264*B100+0.174964*C100+-0.036633*D100+-0.072844*E100+0.053005*F100+-0.116006*G100</f>
        <v>2.03953192</v>
      </c>
      <c r="J100" s="10" t="n">
        <f aca="false">H100-I100</f>
        <v>-0.53953192</v>
      </c>
    </row>
    <row r="101" customFormat="false" ht="15" hidden="false" customHeight="false" outlineLevel="0" collapsed="false">
      <c r="A101" s="3" t="n">
        <v>99</v>
      </c>
      <c r="B101" s="3" t="n">
        <f aca="false">'Encoded Data'!F101</f>
        <v>21.01</v>
      </c>
      <c r="C101" s="3" t="n">
        <f aca="false">'Encoded Data'!E101</f>
        <v>2</v>
      </c>
      <c r="D101" s="3" t="n">
        <f aca="false">'Encoded Data'!A101</f>
        <v>1</v>
      </c>
      <c r="E101" s="3" t="n">
        <f aca="false">'Encoded Data'!B101</f>
        <v>1</v>
      </c>
      <c r="F101" s="3" t="n">
        <f aca="false">'Encoded Data'!C101</f>
        <v>2</v>
      </c>
      <c r="G101" s="3" t="n">
        <f aca="false">'Encoded Data'!D101</f>
        <v>1</v>
      </c>
      <c r="H101" s="8" t="n">
        <f aca="false">'Encoded Data'!G101</f>
        <v>3</v>
      </c>
      <c r="I101" s="8" t="n">
        <f aca="false">0.675081+0.094264*B101+0.174964*C101+-0.036633*D101+-0.072844*E101+0.053005*F101+-0.116006*G101</f>
        <v>2.88602264</v>
      </c>
      <c r="J101" s="8" t="n">
        <f aca="false">H101-I101</f>
        <v>0.11397736</v>
      </c>
    </row>
    <row r="102" customFormat="false" ht="15" hidden="false" customHeight="false" outlineLevel="0" collapsed="false">
      <c r="A102" s="4" t="n">
        <v>100</v>
      </c>
      <c r="B102" s="4" t="n">
        <f aca="false">'Encoded Data'!F102</f>
        <v>12.46</v>
      </c>
      <c r="C102" s="4" t="n">
        <f aca="false">'Encoded Data'!E102</f>
        <v>2</v>
      </c>
      <c r="D102" s="4" t="n">
        <f aca="false">'Encoded Data'!A102</f>
        <v>1</v>
      </c>
      <c r="E102" s="4" t="n">
        <f aca="false">'Encoded Data'!B102</f>
        <v>0</v>
      </c>
      <c r="F102" s="4" t="n">
        <f aca="false">'Encoded Data'!C102</f>
        <v>2</v>
      </c>
      <c r="G102" s="4" t="n">
        <f aca="false">'Encoded Data'!D102</f>
        <v>1</v>
      </c>
      <c r="H102" s="10" t="n">
        <f aca="false">'Encoded Data'!G102</f>
        <v>1.5</v>
      </c>
      <c r="I102" s="10" t="n">
        <f aca="false">0.675081+0.094264*B102+0.174964*C102+-0.036633*D102+-0.072844*E102+0.053005*F102+-0.116006*G102</f>
        <v>2.15290944</v>
      </c>
      <c r="J102" s="10" t="n">
        <f aca="false">H102-I102</f>
        <v>-0.65290944</v>
      </c>
    </row>
    <row r="103" customFormat="false" ht="15" hidden="false" customHeight="false" outlineLevel="0" collapsed="false">
      <c r="A103" s="3" t="n">
        <v>101</v>
      </c>
      <c r="B103" s="3" t="n">
        <f aca="false">'Encoded Data'!F103</f>
        <v>11.35</v>
      </c>
      <c r="C103" s="3" t="n">
        <f aca="false">'Encoded Data'!E103</f>
        <v>2</v>
      </c>
      <c r="D103" s="3" t="n">
        <f aca="false">'Encoded Data'!A103</f>
        <v>0</v>
      </c>
      <c r="E103" s="3" t="n">
        <f aca="false">'Encoded Data'!B103</f>
        <v>1</v>
      </c>
      <c r="F103" s="3" t="n">
        <f aca="false">'Encoded Data'!C103</f>
        <v>2</v>
      </c>
      <c r="G103" s="3" t="n">
        <f aca="false">'Encoded Data'!D103</f>
        <v>1</v>
      </c>
      <c r="H103" s="8" t="n">
        <f aca="false">'Encoded Data'!G103</f>
        <v>2.5</v>
      </c>
      <c r="I103" s="8" t="n">
        <f aca="false">0.675081+0.094264*B103+0.174964*C103+-0.036633*D103+-0.072844*E103+0.053005*F103+-0.116006*G103</f>
        <v>2.0120654</v>
      </c>
      <c r="J103" s="8" t="n">
        <f aca="false">H103-I103</f>
        <v>0.4879346</v>
      </c>
    </row>
    <row r="104" customFormat="false" ht="15" hidden="false" customHeight="false" outlineLevel="0" collapsed="false">
      <c r="A104" s="4" t="n">
        <v>102</v>
      </c>
      <c r="B104" s="4" t="n">
        <f aca="false">'Encoded Data'!F104</f>
        <v>15.38</v>
      </c>
      <c r="C104" s="4" t="n">
        <f aca="false">'Encoded Data'!E104</f>
        <v>2</v>
      </c>
      <c r="D104" s="4" t="n">
        <f aca="false">'Encoded Data'!A104</f>
        <v>0</v>
      </c>
      <c r="E104" s="4" t="n">
        <f aca="false">'Encoded Data'!B104</f>
        <v>1</v>
      </c>
      <c r="F104" s="4" t="n">
        <f aca="false">'Encoded Data'!C104</f>
        <v>2</v>
      </c>
      <c r="G104" s="4" t="n">
        <f aca="false">'Encoded Data'!D104</f>
        <v>1</v>
      </c>
      <c r="H104" s="10" t="n">
        <f aca="false">'Encoded Data'!G104</f>
        <v>3</v>
      </c>
      <c r="I104" s="10" t="n">
        <f aca="false">0.675081+0.094264*B104+0.174964*C104+-0.036633*D104+-0.072844*E104+0.053005*F104+-0.116006*G104</f>
        <v>2.39194932</v>
      </c>
      <c r="J104" s="10" t="n">
        <f aca="false">H104-I104</f>
        <v>0.60805068</v>
      </c>
    </row>
    <row r="105" customFormat="false" ht="15" hidden="false" customHeight="false" outlineLevel="0" collapsed="false">
      <c r="A105" s="3" t="n">
        <v>103</v>
      </c>
      <c r="B105" s="3" t="n">
        <f aca="false">'Encoded Data'!F105</f>
        <v>44.3</v>
      </c>
      <c r="C105" s="3" t="n">
        <f aca="false">'Encoded Data'!E105</f>
        <v>3</v>
      </c>
      <c r="D105" s="3" t="n">
        <f aca="false">'Encoded Data'!A105</f>
        <v>0</v>
      </c>
      <c r="E105" s="3" t="n">
        <f aca="false">'Encoded Data'!B105</f>
        <v>1</v>
      </c>
      <c r="F105" s="3" t="n">
        <f aca="false">'Encoded Data'!C105</f>
        <v>3</v>
      </c>
      <c r="G105" s="3" t="n">
        <f aca="false">'Encoded Data'!D105</f>
        <v>1</v>
      </c>
      <c r="H105" s="8" t="n">
        <f aca="false">'Encoded Data'!G105</f>
        <v>2.5</v>
      </c>
      <c r="I105" s="8" t="n">
        <f aca="false">0.675081+0.094264*B105+0.174964*C105+-0.036633*D105+-0.072844*E105+0.053005*F105+-0.116006*G105</f>
        <v>5.3460332</v>
      </c>
      <c r="J105" s="8" t="n">
        <f aca="false">H105-I105</f>
        <v>-2.8460332</v>
      </c>
    </row>
    <row r="106" customFormat="false" ht="15" hidden="false" customHeight="false" outlineLevel="0" collapsed="false">
      <c r="A106" s="4" t="n">
        <v>104</v>
      </c>
      <c r="B106" s="4" t="n">
        <f aca="false">'Encoded Data'!F106</f>
        <v>22.42</v>
      </c>
      <c r="C106" s="4" t="n">
        <f aca="false">'Encoded Data'!E106</f>
        <v>2</v>
      </c>
      <c r="D106" s="4" t="n">
        <f aca="false">'Encoded Data'!A106</f>
        <v>0</v>
      </c>
      <c r="E106" s="4" t="n">
        <f aca="false">'Encoded Data'!B106</f>
        <v>1</v>
      </c>
      <c r="F106" s="4" t="n">
        <f aca="false">'Encoded Data'!C106</f>
        <v>3</v>
      </c>
      <c r="G106" s="4" t="n">
        <f aca="false">'Encoded Data'!D106</f>
        <v>1</v>
      </c>
      <c r="H106" s="10" t="n">
        <f aca="false">'Encoded Data'!G106</f>
        <v>3.48</v>
      </c>
      <c r="I106" s="10" t="n">
        <f aca="false">0.675081+0.094264*B106+0.174964*C106+-0.036633*D106+-0.072844*E106+0.053005*F106+-0.116006*G106</f>
        <v>3.10857288</v>
      </c>
      <c r="J106" s="10" t="n">
        <f aca="false">H106-I106</f>
        <v>0.37142712</v>
      </c>
    </row>
    <row r="107" customFormat="false" ht="15" hidden="false" customHeight="false" outlineLevel="0" collapsed="false">
      <c r="A107" s="3" t="n">
        <v>105</v>
      </c>
      <c r="B107" s="3" t="n">
        <f aca="false">'Encoded Data'!F107</f>
        <v>20.92</v>
      </c>
      <c r="C107" s="3" t="n">
        <f aca="false">'Encoded Data'!E107</f>
        <v>2</v>
      </c>
      <c r="D107" s="3" t="n">
        <f aca="false">'Encoded Data'!A107</f>
        <v>0</v>
      </c>
      <c r="E107" s="3" t="n">
        <f aca="false">'Encoded Data'!B107</f>
        <v>0</v>
      </c>
      <c r="F107" s="3" t="n">
        <f aca="false">'Encoded Data'!C107</f>
        <v>3</v>
      </c>
      <c r="G107" s="3" t="n">
        <f aca="false">'Encoded Data'!D107</f>
        <v>1</v>
      </c>
      <c r="H107" s="8" t="n">
        <f aca="false">'Encoded Data'!G107</f>
        <v>4.08</v>
      </c>
      <c r="I107" s="8" t="n">
        <f aca="false">0.675081+0.094264*B107+0.174964*C107+-0.036633*D107+-0.072844*E107+0.053005*F107+-0.116006*G107</f>
        <v>3.04002088</v>
      </c>
      <c r="J107" s="8" t="n">
        <f aca="false">H107-I107</f>
        <v>1.03997912</v>
      </c>
    </row>
    <row r="108" customFormat="false" ht="15" hidden="false" customHeight="false" outlineLevel="0" collapsed="false">
      <c r="A108" s="4" t="n">
        <v>106</v>
      </c>
      <c r="B108" s="4" t="n">
        <f aca="false">'Encoded Data'!F108</f>
        <v>15.36</v>
      </c>
      <c r="C108" s="4" t="n">
        <f aca="false">'Encoded Data'!E108</f>
        <v>2</v>
      </c>
      <c r="D108" s="4" t="n">
        <f aca="false">'Encoded Data'!A108</f>
        <v>1</v>
      </c>
      <c r="E108" s="4" t="n">
        <f aca="false">'Encoded Data'!B108</f>
        <v>1</v>
      </c>
      <c r="F108" s="4" t="n">
        <f aca="false">'Encoded Data'!C108</f>
        <v>3</v>
      </c>
      <c r="G108" s="4" t="n">
        <f aca="false">'Encoded Data'!D108</f>
        <v>1</v>
      </c>
      <c r="H108" s="10" t="n">
        <f aca="false">'Encoded Data'!G108</f>
        <v>1.64</v>
      </c>
      <c r="I108" s="10" t="n">
        <f aca="false">0.675081+0.094264*B108+0.174964*C108+-0.036633*D108+-0.072844*E108+0.053005*F108+-0.116006*G108</f>
        <v>2.40643604</v>
      </c>
      <c r="J108" s="10" t="n">
        <f aca="false">H108-I108</f>
        <v>-0.766436040000001</v>
      </c>
    </row>
    <row r="109" customFormat="false" ht="15" hidden="false" customHeight="false" outlineLevel="0" collapsed="false">
      <c r="A109" s="3" t="n">
        <v>107</v>
      </c>
      <c r="B109" s="3" t="n">
        <f aca="false">'Encoded Data'!F109</f>
        <v>20.49</v>
      </c>
      <c r="C109" s="3" t="n">
        <f aca="false">'Encoded Data'!E109</f>
        <v>2</v>
      </c>
      <c r="D109" s="3" t="n">
        <f aca="false">'Encoded Data'!A109</f>
        <v>1</v>
      </c>
      <c r="E109" s="3" t="n">
        <f aca="false">'Encoded Data'!B109</f>
        <v>1</v>
      </c>
      <c r="F109" s="3" t="n">
        <f aca="false">'Encoded Data'!C109</f>
        <v>3</v>
      </c>
      <c r="G109" s="3" t="n">
        <f aca="false">'Encoded Data'!D109</f>
        <v>1</v>
      </c>
      <c r="H109" s="8" t="n">
        <f aca="false">'Encoded Data'!G109</f>
        <v>4.06</v>
      </c>
      <c r="I109" s="8" t="n">
        <f aca="false">0.675081+0.094264*B109+0.174964*C109+-0.036633*D109+-0.072844*E109+0.053005*F109+-0.116006*G109</f>
        <v>2.89001036</v>
      </c>
      <c r="J109" s="8" t="n">
        <f aca="false">H109-I109</f>
        <v>1.16998964</v>
      </c>
    </row>
    <row r="110" customFormat="false" ht="15" hidden="false" customHeight="false" outlineLevel="0" collapsed="false">
      <c r="A110" s="4" t="n">
        <v>108</v>
      </c>
      <c r="B110" s="4" t="n">
        <f aca="false">'Encoded Data'!F110</f>
        <v>25.21</v>
      </c>
      <c r="C110" s="4" t="n">
        <f aca="false">'Encoded Data'!E110</f>
        <v>2</v>
      </c>
      <c r="D110" s="4" t="n">
        <f aca="false">'Encoded Data'!A110</f>
        <v>1</v>
      </c>
      <c r="E110" s="4" t="n">
        <f aca="false">'Encoded Data'!B110</f>
        <v>1</v>
      </c>
      <c r="F110" s="4" t="n">
        <f aca="false">'Encoded Data'!C110</f>
        <v>3</v>
      </c>
      <c r="G110" s="4" t="n">
        <f aca="false">'Encoded Data'!D110</f>
        <v>1</v>
      </c>
      <c r="H110" s="10" t="n">
        <f aca="false">'Encoded Data'!G110</f>
        <v>4.29</v>
      </c>
      <c r="I110" s="10" t="n">
        <f aca="false">0.675081+0.094264*B110+0.174964*C110+-0.036633*D110+-0.072844*E110+0.053005*F110+-0.116006*G110</f>
        <v>3.33493644</v>
      </c>
      <c r="J110" s="10" t="n">
        <f aca="false">H110-I110</f>
        <v>0.95506356</v>
      </c>
    </row>
    <row r="111" customFormat="false" ht="15" hidden="false" customHeight="false" outlineLevel="0" collapsed="false">
      <c r="A111" s="3" t="n">
        <v>109</v>
      </c>
      <c r="B111" s="3" t="n">
        <f aca="false">'Encoded Data'!F111</f>
        <v>18.24</v>
      </c>
      <c r="C111" s="3" t="n">
        <f aca="false">'Encoded Data'!E111</f>
        <v>2</v>
      </c>
      <c r="D111" s="3" t="n">
        <f aca="false">'Encoded Data'!A111</f>
        <v>1</v>
      </c>
      <c r="E111" s="3" t="n">
        <f aca="false">'Encoded Data'!B111</f>
        <v>0</v>
      </c>
      <c r="F111" s="3" t="n">
        <f aca="false">'Encoded Data'!C111</f>
        <v>3</v>
      </c>
      <c r="G111" s="3" t="n">
        <f aca="false">'Encoded Data'!D111</f>
        <v>1</v>
      </c>
      <c r="H111" s="8" t="n">
        <f aca="false">'Encoded Data'!G111</f>
        <v>3.76</v>
      </c>
      <c r="I111" s="8" t="n">
        <f aca="false">0.675081+0.094264*B111+0.174964*C111+-0.036633*D111+-0.072844*E111+0.053005*F111+-0.116006*G111</f>
        <v>2.75076036</v>
      </c>
      <c r="J111" s="8" t="n">
        <f aca="false">H111-I111</f>
        <v>1.00923964</v>
      </c>
    </row>
    <row r="112" customFormat="false" ht="15" hidden="false" customHeight="false" outlineLevel="0" collapsed="false">
      <c r="A112" s="4" t="n">
        <v>110</v>
      </c>
      <c r="B112" s="4" t="n">
        <f aca="false">'Encoded Data'!F112</f>
        <v>14.31</v>
      </c>
      <c r="C112" s="4" t="n">
        <f aca="false">'Encoded Data'!E112</f>
        <v>2</v>
      </c>
      <c r="D112" s="4" t="n">
        <f aca="false">'Encoded Data'!A112</f>
        <v>0</v>
      </c>
      <c r="E112" s="4" t="n">
        <f aca="false">'Encoded Data'!B112</f>
        <v>1</v>
      </c>
      <c r="F112" s="4" t="n">
        <f aca="false">'Encoded Data'!C112</f>
        <v>3</v>
      </c>
      <c r="G112" s="4" t="n">
        <f aca="false">'Encoded Data'!D112</f>
        <v>1</v>
      </c>
      <c r="H112" s="10" t="n">
        <f aca="false">'Encoded Data'!G112</f>
        <v>4</v>
      </c>
      <c r="I112" s="10" t="n">
        <f aca="false">0.675081+0.094264*B112+0.174964*C112+-0.036633*D112+-0.072844*E112+0.053005*F112+-0.116006*G112</f>
        <v>2.34409184</v>
      </c>
      <c r="J112" s="10" t="n">
        <f aca="false">H112-I112</f>
        <v>1.65590816</v>
      </c>
    </row>
    <row r="113" customFormat="false" ht="15" hidden="false" customHeight="false" outlineLevel="0" collapsed="false">
      <c r="A113" s="3" t="n">
        <v>111</v>
      </c>
      <c r="B113" s="3" t="n">
        <f aca="false">'Encoded Data'!F113</f>
        <v>14</v>
      </c>
      <c r="C113" s="3" t="n">
        <f aca="false">'Encoded Data'!E113</f>
        <v>2</v>
      </c>
      <c r="D113" s="3" t="n">
        <f aca="false">'Encoded Data'!A113</f>
        <v>1</v>
      </c>
      <c r="E113" s="3" t="n">
        <f aca="false">'Encoded Data'!B113</f>
        <v>0</v>
      </c>
      <c r="F113" s="3" t="n">
        <f aca="false">'Encoded Data'!C113</f>
        <v>3</v>
      </c>
      <c r="G113" s="3" t="n">
        <f aca="false">'Encoded Data'!D113</f>
        <v>1</v>
      </c>
      <c r="H113" s="8" t="n">
        <f aca="false">'Encoded Data'!G113</f>
        <v>3</v>
      </c>
      <c r="I113" s="8" t="n">
        <f aca="false">0.675081+0.094264*B113+0.174964*C113+-0.036633*D113+-0.072844*E113+0.053005*F113+-0.116006*G113</f>
        <v>2.351081</v>
      </c>
      <c r="J113" s="8" t="n">
        <f aca="false">H113-I113</f>
        <v>0.648919</v>
      </c>
    </row>
    <row r="114" customFormat="false" ht="15" hidden="false" customHeight="false" outlineLevel="0" collapsed="false">
      <c r="A114" s="4" t="n">
        <v>112</v>
      </c>
      <c r="B114" s="4" t="n">
        <f aca="false">'Encoded Data'!F114</f>
        <v>7.25</v>
      </c>
      <c r="C114" s="4" t="n">
        <f aca="false">'Encoded Data'!E114</f>
        <v>1</v>
      </c>
      <c r="D114" s="4" t="n">
        <f aca="false">'Encoded Data'!A114</f>
        <v>0</v>
      </c>
      <c r="E114" s="4" t="n">
        <f aca="false">'Encoded Data'!B114</f>
        <v>0</v>
      </c>
      <c r="F114" s="4" t="n">
        <f aca="false">'Encoded Data'!C114</f>
        <v>3</v>
      </c>
      <c r="G114" s="4" t="n">
        <f aca="false">'Encoded Data'!D114</f>
        <v>1</v>
      </c>
      <c r="H114" s="10" t="n">
        <f aca="false">'Encoded Data'!G114</f>
        <v>1</v>
      </c>
      <c r="I114" s="10" t="n">
        <f aca="false">0.675081+0.094264*B114+0.174964*C114+-0.036633*D114+-0.072844*E114+0.053005*F114+-0.116006*G114</f>
        <v>1.576468</v>
      </c>
      <c r="J114" s="10" t="n">
        <f aca="false">H114-I114</f>
        <v>-0.576468</v>
      </c>
    </row>
    <row r="115" customFormat="false" ht="15" hidden="false" customHeight="false" outlineLevel="0" collapsed="false">
      <c r="A115" s="3" t="n">
        <v>113</v>
      </c>
      <c r="B115" s="3" t="n">
        <f aca="false">'Encoded Data'!F115</f>
        <v>38.07</v>
      </c>
      <c r="C115" s="3" t="n">
        <f aca="false">'Encoded Data'!E115</f>
        <v>3</v>
      </c>
      <c r="D115" s="3" t="n">
        <f aca="false">'Encoded Data'!A115</f>
        <v>1</v>
      </c>
      <c r="E115" s="3" t="n">
        <f aca="false">'Encoded Data'!B115</f>
        <v>0</v>
      </c>
      <c r="F115" s="3" t="n">
        <f aca="false">'Encoded Data'!C115</f>
        <v>4</v>
      </c>
      <c r="G115" s="3" t="n">
        <f aca="false">'Encoded Data'!D115</f>
        <v>1</v>
      </c>
      <c r="H115" s="8" t="n">
        <f aca="false">'Encoded Data'!G115</f>
        <v>4</v>
      </c>
      <c r="I115" s="8" t="n">
        <f aca="false">0.675081+0.094264*B115+0.174964*C115+-0.036633*D115+-0.072844*E115+0.053005*F115+-0.116006*G115</f>
        <v>4.84798448</v>
      </c>
      <c r="J115" s="8" t="n">
        <f aca="false">H115-I115</f>
        <v>-0.84798448</v>
      </c>
    </row>
    <row r="116" customFormat="false" ht="15" hidden="false" customHeight="false" outlineLevel="0" collapsed="false">
      <c r="A116" s="4" t="n">
        <v>114</v>
      </c>
      <c r="B116" s="4" t="n">
        <f aca="false">'Encoded Data'!F116</f>
        <v>23.95</v>
      </c>
      <c r="C116" s="4" t="n">
        <f aca="false">'Encoded Data'!E116</f>
        <v>2</v>
      </c>
      <c r="D116" s="4" t="n">
        <f aca="false">'Encoded Data'!A116</f>
        <v>1</v>
      </c>
      <c r="E116" s="4" t="n">
        <f aca="false">'Encoded Data'!B116</f>
        <v>0</v>
      </c>
      <c r="F116" s="4" t="n">
        <f aca="false">'Encoded Data'!C116</f>
        <v>4</v>
      </c>
      <c r="G116" s="4" t="n">
        <f aca="false">'Encoded Data'!D116</f>
        <v>1</v>
      </c>
      <c r="H116" s="10" t="n">
        <f aca="false">'Encoded Data'!G116</f>
        <v>2.55</v>
      </c>
      <c r="I116" s="10" t="n">
        <f aca="false">0.675081+0.094264*B116+0.174964*C116+-0.036633*D116+-0.072844*E116+0.053005*F116+-0.116006*G116</f>
        <v>3.3420128</v>
      </c>
      <c r="J116" s="10" t="n">
        <f aca="false">H116-I116</f>
        <v>-0.7920128</v>
      </c>
    </row>
    <row r="117" customFormat="false" ht="15" hidden="false" customHeight="false" outlineLevel="0" collapsed="false">
      <c r="A117" s="3" t="n">
        <v>115</v>
      </c>
      <c r="B117" s="3" t="n">
        <f aca="false">'Encoded Data'!F117</f>
        <v>25.71</v>
      </c>
      <c r="C117" s="3" t="n">
        <f aca="false">'Encoded Data'!E117</f>
        <v>3</v>
      </c>
      <c r="D117" s="3" t="n">
        <f aca="false">'Encoded Data'!A117</f>
        <v>0</v>
      </c>
      <c r="E117" s="3" t="n">
        <f aca="false">'Encoded Data'!B117</f>
        <v>0</v>
      </c>
      <c r="F117" s="3" t="n">
        <f aca="false">'Encoded Data'!C117</f>
        <v>4</v>
      </c>
      <c r="G117" s="3" t="n">
        <f aca="false">'Encoded Data'!D117</f>
        <v>1</v>
      </c>
      <c r="H117" s="8" t="n">
        <f aca="false">'Encoded Data'!G117</f>
        <v>4</v>
      </c>
      <c r="I117" s="8" t="n">
        <f aca="false">0.675081+0.094264*B117+0.174964*C117+-0.036633*D117+-0.072844*E117+0.053005*F117+-0.116006*G117</f>
        <v>3.71951444</v>
      </c>
      <c r="J117" s="8" t="n">
        <f aca="false">H117-I117</f>
        <v>0.28048556</v>
      </c>
    </row>
    <row r="118" customFormat="false" ht="15" hidden="false" customHeight="false" outlineLevel="0" collapsed="false">
      <c r="A118" s="4" t="n">
        <v>116</v>
      </c>
      <c r="B118" s="4" t="n">
        <f aca="false">'Encoded Data'!F118</f>
        <v>17.31</v>
      </c>
      <c r="C118" s="4" t="n">
        <f aca="false">'Encoded Data'!E118</f>
        <v>2</v>
      </c>
      <c r="D118" s="4" t="n">
        <f aca="false">'Encoded Data'!A118</f>
        <v>0</v>
      </c>
      <c r="E118" s="4" t="n">
        <f aca="false">'Encoded Data'!B118</f>
        <v>0</v>
      </c>
      <c r="F118" s="4" t="n">
        <f aca="false">'Encoded Data'!C118</f>
        <v>4</v>
      </c>
      <c r="G118" s="4" t="n">
        <f aca="false">'Encoded Data'!D118</f>
        <v>1</v>
      </c>
      <c r="H118" s="10" t="n">
        <f aca="false">'Encoded Data'!G118</f>
        <v>3.5</v>
      </c>
      <c r="I118" s="10" t="n">
        <f aca="false">0.675081+0.094264*B118+0.174964*C118+-0.036633*D118+-0.072844*E118+0.053005*F118+-0.116006*G118</f>
        <v>2.75273284</v>
      </c>
      <c r="J118" s="10" t="n">
        <f aca="false">H118-I118</f>
        <v>0.74726716</v>
      </c>
    </row>
    <row r="119" customFormat="false" ht="15" hidden="false" customHeight="false" outlineLevel="0" collapsed="false">
      <c r="A119" s="3" t="n">
        <v>117</v>
      </c>
      <c r="B119" s="3" t="n">
        <f aca="false">'Encoded Data'!F119</f>
        <v>29.93</v>
      </c>
      <c r="C119" s="3" t="n">
        <f aca="false">'Encoded Data'!E119</f>
        <v>4</v>
      </c>
      <c r="D119" s="3" t="n">
        <f aca="false">'Encoded Data'!A119</f>
        <v>1</v>
      </c>
      <c r="E119" s="3" t="n">
        <f aca="false">'Encoded Data'!B119</f>
        <v>0</v>
      </c>
      <c r="F119" s="3" t="n">
        <f aca="false">'Encoded Data'!C119</f>
        <v>4</v>
      </c>
      <c r="G119" s="3" t="n">
        <f aca="false">'Encoded Data'!D119</f>
        <v>1</v>
      </c>
      <c r="H119" s="8" t="n">
        <f aca="false">'Encoded Data'!G119</f>
        <v>5.07</v>
      </c>
      <c r="I119" s="8" t="n">
        <f aca="false">0.675081+0.094264*B119+0.174964*C119+-0.036633*D119+-0.072844*E119+0.053005*F119+-0.116006*G119</f>
        <v>4.25563952</v>
      </c>
      <c r="J119" s="8" t="n">
        <f aca="false">H119-I119</f>
        <v>0.81436048</v>
      </c>
    </row>
    <row r="120" customFormat="false" ht="15" hidden="false" customHeight="false" outlineLevel="0" collapsed="false">
      <c r="A120" s="4" t="n">
        <v>118</v>
      </c>
      <c r="B120" s="4" t="n">
        <f aca="false">'Encoded Data'!F120</f>
        <v>10.65</v>
      </c>
      <c r="C120" s="4" t="n">
        <f aca="false">'Encoded Data'!E120</f>
        <v>2</v>
      </c>
      <c r="D120" s="4" t="n">
        <f aca="false">'Encoded Data'!A120</f>
        <v>0</v>
      </c>
      <c r="E120" s="4" t="n">
        <f aca="false">'Encoded Data'!B120</f>
        <v>0</v>
      </c>
      <c r="F120" s="4" t="n">
        <f aca="false">'Encoded Data'!C120</f>
        <v>1</v>
      </c>
      <c r="G120" s="4" t="n">
        <f aca="false">'Encoded Data'!D120</f>
        <v>0</v>
      </c>
      <c r="H120" s="10" t="n">
        <f aca="false">'Encoded Data'!G120</f>
        <v>1.5</v>
      </c>
      <c r="I120" s="10" t="n">
        <f aca="false">0.675081+0.094264*B120+0.174964*C120+-0.036633*D120+-0.072844*E120+0.053005*F120+-0.116006*G120</f>
        <v>2.0819256</v>
      </c>
      <c r="J120" s="10" t="n">
        <f aca="false">H120-I120</f>
        <v>-0.5819256</v>
      </c>
    </row>
    <row r="121" customFormat="false" ht="15" hidden="false" customHeight="false" outlineLevel="0" collapsed="false">
      <c r="A121" s="3" t="n">
        <v>119</v>
      </c>
      <c r="B121" s="3" t="n">
        <f aca="false">'Encoded Data'!F121</f>
        <v>12.43</v>
      </c>
      <c r="C121" s="3" t="n">
        <f aca="false">'Encoded Data'!E121</f>
        <v>2</v>
      </c>
      <c r="D121" s="3" t="n">
        <f aca="false">'Encoded Data'!A121</f>
        <v>0</v>
      </c>
      <c r="E121" s="3" t="n">
        <f aca="false">'Encoded Data'!B121</f>
        <v>0</v>
      </c>
      <c r="F121" s="3" t="n">
        <f aca="false">'Encoded Data'!C121</f>
        <v>1</v>
      </c>
      <c r="G121" s="3" t="n">
        <f aca="false">'Encoded Data'!D121</f>
        <v>0</v>
      </c>
      <c r="H121" s="8" t="n">
        <f aca="false">'Encoded Data'!G121</f>
        <v>1.8</v>
      </c>
      <c r="I121" s="8" t="n">
        <f aca="false">0.675081+0.094264*B121+0.174964*C121+-0.036633*D121+-0.072844*E121+0.053005*F121+-0.116006*G121</f>
        <v>2.24971552</v>
      </c>
      <c r="J121" s="8" t="n">
        <f aca="false">H121-I121</f>
        <v>-0.44971552</v>
      </c>
    </row>
    <row r="122" customFormat="false" ht="15" hidden="false" customHeight="false" outlineLevel="0" collapsed="false">
      <c r="A122" s="4" t="n">
        <v>120</v>
      </c>
      <c r="B122" s="4" t="n">
        <f aca="false">'Encoded Data'!F122</f>
        <v>24.08</v>
      </c>
      <c r="C122" s="4" t="n">
        <f aca="false">'Encoded Data'!E122</f>
        <v>4</v>
      </c>
      <c r="D122" s="4" t="n">
        <f aca="false">'Encoded Data'!A122</f>
        <v>0</v>
      </c>
      <c r="E122" s="4" t="n">
        <f aca="false">'Encoded Data'!B122</f>
        <v>0</v>
      </c>
      <c r="F122" s="4" t="n">
        <f aca="false">'Encoded Data'!C122</f>
        <v>1</v>
      </c>
      <c r="G122" s="4" t="n">
        <f aca="false">'Encoded Data'!D122</f>
        <v>0</v>
      </c>
      <c r="H122" s="10" t="n">
        <f aca="false">'Encoded Data'!G122</f>
        <v>2.92</v>
      </c>
      <c r="I122" s="10" t="n">
        <f aca="false">0.675081+0.094264*B122+0.174964*C122+-0.036633*D122+-0.072844*E122+0.053005*F122+-0.116006*G122</f>
        <v>3.69781912</v>
      </c>
      <c r="J122" s="10" t="n">
        <f aca="false">H122-I122</f>
        <v>-0.77781912</v>
      </c>
    </row>
    <row r="123" customFormat="false" ht="15" hidden="false" customHeight="false" outlineLevel="0" collapsed="false">
      <c r="A123" s="3" t="n">
        <v>121</v>
      </c>
      <c r="B123" s="3" t="n">
        <f aca="false">'Encoded Data'!F123</f>
        <v>11.69</v>
      </c>
      <c r="C123" s="3" t="n">
        <f aca="false">'Encoded Data'!E123</f>
        <v>2</v>
      </c>
      <c r="D123" s="3" t="n">
        <f aca="false">'Encoded Data'!A123</f>
        <v>1</v>
      </c>
      <c r="E123" s="3" t="n">
        <f aca="false">'Encoded Data'!B123</f>
        <v>0</v>
      </c>
      <c r="F123" s="3" t="n">
        <f aca="false">'Encoded Data'!C123</f>
        <v>1</v>
      </c>
      <c r="G123" s="3" t="n">
        <f aca="false">'Encoded Data'!D123</f>
        <v>0</v>
      </c>
      <c r="H123" s="8" t="n">
        <f aca="false">'Encoded Data'!G123</f>
        <v>2.31</v>
      </c>
      <c r="I123" s="8" t="n">
        <f aca="false">0.675081+0.094264*B123+0.174964*C123+-0.036633*D123+-0.072844*E123+0.053005*F123+-0.116006*G123</f>
        <v>2.14332716</v>
      </c>
      <c r="J123" s="8" t="n">
        <f aca="false">H123-I123</f>
        <v>0.16667284</v>
      </c>
    </row>
    <row r="124" customFormat="false" ht="15" hidden="false" customHeight="false" outlineLevel="0" collapsed="false">
      <c r="A124" s="4" t="n">
        <v>122</v>
      </c>
      <c r="B124" s="4" t="n">
        <f aca="false">'Encoded Data'!F124</f>
        <v>13.42</v>
      </c>
      <c r="C124" s="4" t="n">
        <f aca="false">'Encoded Data'!E124</f>
        <v>2</v>
      </c>
      <c r="D124" s="4" t="n">
        <f aca="false">'Encoded Data'!A124</f>
        <v>0</v>
      </c>
      <c r="E124" s="4" t="n">
        <f aca="false">'Encoded Data'!B124</f>
        <v>0</v>
      </c>
      <c r="F124" s="4" t="n">
        <f aca="false">'Encoded Data'!C124</f>
        <v>1</v>
      </c>
      <c r="G124" s="4" t="n">
        <f aca="false">'Encoded Data'!D124</f>
        <v>0</v>
      </c>
      <c r="H124" s="10" t="n">
        <f aca="false">'Encoded Data'!G124</f>
        <v>1.68</v>
      </c>
      <c r="I124" s="10" t="n">
        <f aca="false">0.675081+0.094264*B124+0.174964*C124+-0.036633*D124+-0.072844*E124+0.053005*F124+-0.116006*G124</f>
        <v>2.34303688</v>
      </c>
      <c r="J124" s="10" t="n">
        <f aca="false">H124-I124</f>
        <v>-0.66303688</v>
      </c>
    </row>
    <row r="125" customFormat="false" ht="15" hidden="false" customHeight="false" outlineLevel="0" collapsed="false">
      <c r="A125" s="3" t="n">
        <v>123</v>
      </c>
      <c r="B125" s="3" t="n">
        <f aca="false">'Encoded Data'!F125</f>
        <v>14.26</v>
      </c>
      <c r="C125" s="3" t="n">
        <f aca="false">'Encoded Data'!E125</f>
        <v>2</v>
      </c>
      <c r="D125" s="3" t="n">
        <f aca="false">'Encoded Data'!A125</f>
        <v>1</v>
      </c>
      <c r="E125" s="3" t="n">
        <f aca="false">'Encoded Data'!B125</f>
        <v>0</v>
      </c>
      <c r="F125" s="3" t="n">
        <f aca="false">'Encoded Data'!C125</f>
        <v>1</v>
      </c>
      <c r="G125" s="3" t="n">
        <f aca="false">'Encoded Data'!D125</f>
        <v>0</v>
      </c>
      <c r="H125" s="8" t="n">
        <f aca="false">'Encoded Data'!G125</f>
        <v>2.5</v>
      </c>
      <c r="I125" s="8" t="n">
        <f aca="false">0.675081+0.094264*B125+0.174964*C125+-0.036633*D125+-0.072844*E125+0.053005*F125+-0.116006*G125</f>
        <v>2.38558564</v>
      </c>
      <c r="J125" s="8" t="n">
        <f aca="false">H125-I125</f>
        <v>0.11441436</v>
      </c>
    </row>
    <row r="126" customFormat="false" ht="15" hidden="false" customHeight="false" outlineLevel="0" collapsed="false">
      <c r="A126" s="4" t="n">
        <v>124</v>
      </c>
      <c r="B126" s="4" t="n">
        <f aca="false">'Encoded Data'!F126</f>
        <v>15.95</v>
      </c>
      <c r="C126" s="4" t="n">
        <f aca="false">'Encoded Data'!E126</f>
        <v>2</v>
      </c>
      <c r="D126" s="4" t="n">
        <f aca="false">'Encoded Data'!A126</f>
        <v>1</v>
      </c>
      <c r="E126" s="4" t="n">
        <f aca="false">'Encoded Data'!B126</f>
        <v>0</v>
      </c>
      <c r="F126" s="4" t="n">
        <f aca="false">'Encoded Data'!C126</f>
        <v>1</v>
      </c>
      <c r="G126" s="4" t="n">
        <f aca="false">'Encoded Data'!D126</f>
        <v>0</v>
      </c>
      <c r="H126" s="10" t="n">
        <f aca="false">'Encoded Data'!G126</f>
        <v>2</v>
      </c>
      <c r="I126" s="10" t="n">
        <f aca="false">0.675081+0.094264*B126+0.174964*C126+-0.036633*D126+-0.072844*E126+0.053005*F126+-0.116006*G126</f>
        <v>2.5448918</v>
      </c>
      <c r="J126" s="10" t="n">
        <f aca="false">H126-I126</f>
        <v>-0.5448918</v>
      </c>
    </row>
    <row r="127" customFormat="false" ht="15" hidden="false" customHeight="false" outlineLevel="0" collapsed="false">
      <c r="A127" s="3" t="n">
        <v>125</v>
      </c>
      <c r="B127" s="3" t="n">
        <f aca="false">'Encoded Data'!F127</f>
        <v>12.48</v>
      </c>
      <c r="C127" s="3" t="n">
        <f aca="false">'Encoded Data'!E127</f>
        <v>2</v>
      </c>
      <c r="D127" s="3" t="n">
        <f aca="false">'Encoded Data'!A127</f>
        <v>0</v>
      </c>
      <c r="E127" s="3" t="n">
        <f aca="false">'Encoded Data'!B127</f>
        <v>0</v>
      </c>
      <c r="F127" s="3" t="n">
        <f aca="false">'Encoded Data'!C127</f>
        <v>1</v>
      </c>
      <c r="G127" s="3" t="n">
        <f aca="false">'Encoded Data'!D127</f>
        <v>0</v>
      </c>
      <c r="H127" s="8" t="n">
        <f aca="false">'Encoded Data'!G127</f>
        <v>2.52</v>
      </c>
      <c r="I127" s="8" t="n">
        <f aca="false">0.675081+0.094264*B127+0.174964*C127+-0.036633*D127+-0.072844*E127+0.053005*F127+-0.116006*G127</f>
        <v>2.25442872</v>
      </c>
      <c r="J127" s="8" t="n">
        <f aca="false">H127-I127</f>
        <v>0.26557128</v>
      </c>
    </row>
    <row r="128" customFormat="false" ht="15" hidden="false" customHeight="false" outlineLevel="0" collapsed="false">
      <c r="A128" s="4" t="n">
        <v>126</v>
      </c>
      <c r="B128" s="4" t="n">
        <f aca="false">'Encoded Data'!F128</f>
        <v>29.8</v>
      </c>
      <c r="C128" s="4" t="n">
        <f aca="false">'Encoded Data'!E128</f>
        <v>6</v>
      </c>
      <c r="D128" s="4" t="n">
        <f aca="false">'Encoded Data'!A128</f>
        <v>0</v>
      </c>
      <c r="E128" s="4" t="n">
        <f aca="false">'Encoded Data'!B128</f>
        <v>0</v>
      </c>
      <c r="F128" s="4" t="n">
        <f aca="false">'Encoded Data'!C128</f>
        <v>1</v>
      </c>
      <c r="G128" s="4" t="n">
        <f aca="false">'Encoded Data'!D128</f>
        <v>0</v>
      </c>
      <c r="H128" s="10" t="n">
        <f aca="false">'Encoded Data'!G128</f>
        <v>4.2</v>
      </c>
      <c r="I128" s="10" t="n">
        <f aca="false">0.675081+0.094264*B128+0.174964*C128+-0.036633*D128+-0.072844*E128+0.053005*F128+-0.116006*G128</f>
        <v>4.5869372</v>
      </c>
      <c r="J128" s="10" t="n">
        <f aca="false">H128-I128</f>
        <v>-0.386937199999999</v>
      </c>
    </row>
    <row r="129" customFormat="false" ht="15" hidden="false" customHeight="false" outlineLevel="0" collapsed="false">
      <c r="A129" s="3" t="n">
        <v>127</v>
      </c>
      <c r="B129" s="3" t="n">
        <f aca="false">'Encoded Data'!F129</f>
        <v>8.52</v>
      </c>
      <c r="C129" s="3" t="n">
        <f aca="false">'Encoded Data'!E129</f>
        <v>2</v>
      </c>
      <c r="D129" s="3" t="n">
        <f aca="false">'Encoded Data'!A129</f>
        <v>1</v>
      </c>
      <c r="E129" s="3" t="n">
        <f aca="false">'Encoded Data'!B129</f>
        <v>0</v>
      </c>
      <c r="F129" s="3" t="n">
        <f aca="false">'Encoded Data'!C129</f>
        <v>1</v>
      </c>
      <c r="G129" s="3" t="n">
        <f aca="false">'Encoded Data'!D129</f>
        <v>0</v>
      </c>
      <c r="H129" s="8" t="n">
        <f aca="false">'Encoded Data'!G129</f>
        <v>1.48</v>
      </c>
      <c r="I129" s="8" t="n">
        <f aca="false">0.675081+0.094264*B129+0.174964*C129+-0.036633*D129+-0.072844*E129+0.053005*F129+-0.116006*G129</f>
        <v>1.84451028</v>
      </c>
      <c r="J129" s="8" t="n">
        <f aca="false">H129-I129</f>
        <v>-0.36451028</v>
      </c>
    </row>
    <row r="130" customFormat="false" ht="15" hidden="false" customHeight="false" outlineLevel="0" collapsed="false">
      <c r="A130" s="4" t="n">
        <v>128</v>
      </c>
      <c r="B130" s="4" t="n">
        <f aca="false">'Encoded Data'!F130</f>
        <v>14.52</v>
      </c>
      <c r="C130" s="4" t="n">
        <f aca="false">'Encoded Data'!E130</f>
        <v>2</v>
      </c>
      <c r="D130" s="4" t="n">
        <f aca="false">'Encoded Data'!A130</f>
        <v>0</v>
      </c>
      <c r="E130" s="4" t="n">
        <f aca="false">'Encoded Data'!B130</f>
        <v>0</v>
      </c>
      <c r="F130" s="4" t="n">
        <f aca="false">'Encoded Data'!C130</f>
        <v>1</v>
      </c>
      <c r="G130" s="4" t="n">
        <f aca="false">'Encoded Data'!D130</f>
        <v>0</v>
      </c>
      <c r="H130" s="10" t="n">
        <f aca="false">'Encoded Data'!G130</f>
        <v>2</v>
      </c>
      <c r="I130" s="10" t="n">
        <f aca="false">0.675081+0.094264*B130+0.174964*C130+-0.036633*D130+-0.072844*E130+0.053005*F130+-0.116006*G130</f>
        <v>2.44672728</v>
      </c>
      <c r="J130" s="10" t="n">
        <f aca="false">H130-I130</f>
        <v>-0.446727280000001</v>
      </c>
    </row>
    <row r="131" customFormat="false" ht="15" hidden="false" customHeight="false" outlineLevel="0" collapsed="false">
      <c r="A131" s="3" t="n">
        <v>129</v>
      </c>
      <c r="B131" s="3" t="n">
        <f aca="false">'Encoded Data'!F131</f>
        <v>11.38</v>
      </c>
      <c r="C131" s="3" t="n">
        <f aca="false">'Encoded Data'!E131</f>
        <v>2</v>
      </c>
      <c r="D131" s="3" t="n">
        <f aca="false">'Encoded Data'!A131</f>
        <v>0</v>
      </c>
      <c r="E131" s="3" t="n">
        <f aca="false">'Encoded Data'!B131</f>
        <v>0</v>
      </c>
      <c r="F131" s="3" t="n">
        <f aca="false">'Encoded Data'!C131</f>
        <v>1</v>
      </c>
      <c r="G131" s="3" t="n">
        <f aca="false">'Encoded Data'!D131</f>
        <v>0</v>
      </c>
      <c r="H131" s="8" t="n">
        <f aca="false">'Encoded Data'!G131</f>
        <v>2</v>
      </c>
      <c r="I131" s="8" t="n">
        <f aca="false">0.675081+0.094264*B131+0.174964*C131+-0.036633*D131+-0.072844*E131+0.053005*F131+-0.116006*G131</f>
        <v>2.15073832</v>
      </c>
      <c r="J131" s="8" t="n">
        <f aca="false">H131-I131</f>
        <v>-0.15073832</v>
      </c>
    </row>
    <row r="132" customFormat="false" ht="15" hidden="false" customHeight="false" outlineLevel="0" collapsed="false">
      <c r="A132" s="4" t="n">
        <v>130</v>
      </c>
      <c r="B132" s="4" t="n">
        <f aca="false">'Encoded Data'!F132</f>
        <v>22.82</v>
      </c>
      <c r="C132" s="4" t="n">
        <f aca="false">'Encoded Data'!E132</f>
        <v>3</v>
      </c>
      <c r="D132" s="4" t="n">
        <f aca="false">'Encoded Data'!A132</f>
        <v>1</v>
      </c>
      <c r="E132" s="4" t="n">
        <f aca="false">'Encoded Data'!B132</f>
        <v>0</v>
      </c>
      <c r="F132" s="4" t="n">
        <f aca="false">'Encoded Data'!C132</f>
        <v>1</v>
      </c>
      <c r="G132" s="4" t="n">
        <f aca="false">'Encoded Data'!D132</f>
        <v>0</v>
      </c>
      <c r="H132" s="10" t="n">
        <f aca="false">'Encoded Data'!G132</f>
        <v>2.18</v>
      </c>
      <c r="I132" s="10" t="n">
        <f aca="false">0.675081+0.094264*B132+0.174964*C132+-0.036633*D132+-0.072844*E132+0.053005*F132+-0.116006*G132</f>
        <v>3.36744948</v>
      </c>
      <c r="J132" s="10" t="n">
        <f aca="false">H132-I132</f>
        <v>-1.18744948</v>
      </c>
    </row>
    <row r="133" customFormat="false" ht="15" hidden="false" customHeight="false" outlineLevel="0" collapsed="false">
      <c r="A133" s="3" t="n">
        <v>131</v>
      </c>
      <c r="B133" s="3" t="n">
        <f aca="false">'Encoded Data'!F133</f>
        <v>19.08</v>
      </c>
      <c r="C133" s="3" t="n">
        <f aca="false">'Encoded Data'!E133</f>
        <v>2</v>
      </c>
      <c r="D133" s="3" t="n">
        <f aca="false">'Encoded Data'!A133</f>
        <v>1</v>
      </c>
      <c r="E133" s="3" t="n">
        <f aca="false">'Encoded Data'!B133</f>
        <v>0</v>
      </c>
      <c r="F133" s="3" t="n">
        <f aca="false">'Encoded Data'!C133</f>
        <v>1</v>
      </c>
      <c r="G133" s="3" t="n">
        <f aca="false">'Encoded Data'!D133</f>
        <v>0</v>
      </c>
      <c r="H133" s="8" t="n">
        <f aca="false">'Encoded Data'!G133</f>
        <v>1.5</v>
      </c>
      <c r="I133" s="8" t="n">
        <f aca="false">0.675081+0.094264*B133+0.174964*C133+-0.036633*D133+-0.072844*E133+0.053005*F133+-0.116006*G133</f>
        <v>2.83993812</v>
      </c>
      <c r="J133" s="8" t="n">
        <f aca="false">H133-I133</f>
        <v>-1.33993812</v>
      </c>
    </row>
    <row r="134" customFormat="false" ht="15" hidden="false" customHeight="false" outlineLevel="0" collapsed="false">
      <c r="A134" s="4" t="n">
        <v>132</v>
      </c>
      <c r="B134" s="4" t="n">
        <f aca="false">'Encoded Data'!F134</f>
        <v>20.27</v>
      </c>
      <c r="C134" s="4" t="n">
        <f aca="false">'Encoded Data'!E134</f>
        <v>2</v>
      </c>
      <c r="D134" s="4" t="n">
        <f aca="false">'Encoded Data'!A134</f>
        <v>0</v>
      </c>
      <c r="E134" s="4" t="n">
        <f aca="false">'Encoded Data'!B134</f>
        <v>0</v>
      </c>
      <c r="F134" s="4" t="n">
        <f aca="false">'Encoded Data'!C134</f>
        <v>1</v>
      </c>
      <c r="G134" s="4" t="n">
        <f aca="false">'Encoded Data'!D134</f>
        <v>0</v>
      </c>
      <c r="H134" s="10" t="n">
        <f aca="false">'Encoded Data'!G134</f>
        <v>2.83</v>
      </c>
      <c r="I134" s="10" t="n">
        <f aca="false">0.675081+0.094264*B134+0.174964*C134+-0.036633*D134+-0.072844*E134+0.053005*F134+-0.116006*G134</f>
        <v>2.98874528</v>
      </c>
      <c r="J134" s="10" t="n">
        <f aca="false">H134-I134</f>
        <v>-0.15874528</v>
      </c>
    </row>
    <row r="135" customFormat="false" ht="15" hidden="false" customHeight="false" outlineLevel="0" collapsed="false">
      <c r="A135" s="3" t="n">
        <v>133</v>
      </c>
      <c r="B135" s="3" t="n">
        <f aca="false">'Encoded Data'!F135</f>
        <v>11.17</v>
      </c>
      <c r="C135" s="3" t="n">
        <f aca="false">'Encoded Data'!E135</f>
        <v>2</v>
      </c>
      <c r="D135" s="3" t="n">
        <f aca="false">'Encoded Data'!A135</f>
        <v>0</v>
      </c>
      <c r="E135" s="3" t="n">
        <f aca="false">'Encoded Data'!B135</f>
        <v>0</v>
      </c>
      <c r="F135" s="3" t="n">
        <f aca="false">'Encoded Data'!C135</f>
        <v>1</v>
      </c>
      <c r="G135" s="3" t="n">
        <f aca="false">'Encoded Data'!D135</f>
        <v>0</v>
      </c>
      <c r="H135" s="8" t="n">
        <f aca="false">'Encoded Data'!G135</f>
        <v>1.5</v>
      </c>
      <c r="I135" s="8" t="n">
        <f aca="false">0.675081+0.094264*B135+0.174964*C135+-0.036633*D135+-0.072844*E135+0.053005*F135+-0.116006*G135</f>
        <v>2.13094288</v>
      </c>
      <c r="J135" s="8" t="n">
        <f aca="false">H135-I135</f>
        <v>-0.630942880000001</v>
      </c>
    </row>
    <row r="136" customFormat="false" ht="15" hidden="false" customHeight="false" outlineLevel="0" collapsed="false">
      <c r="A136" s="4" t="n">
        <v>134</v>
      </c>
      <c r="B136" s="4" t="n">
        <f aca="false">'Encoded Data'!F136</f>
        <v>12.26</v>
      </c>
      <c r="C136" s="4" t="n">
        <f aca="false">'Encoded Data'!E136</f>
        <v>2</v>
      </c>
      <c r="D136" s="4" t="n">
        <f aca="false">'Encoded Data'!A136</f>
        <v>0</v>
      </c>
      <c r="E136" s="4" t="n">
        <f aca="false">'Encoded Data'!B136</f>
        <v>0</v>
      </c>
      <c r="F136" s="4" t="n">
        <f aca="false">'Encoded Data'!C136</f>
        <v>1</v>
      </c>
      <c r="G136" s="4" t="n">
        <f aca="false">'Encoded Data'!D136</f>
        <v>0</v>
      </c>
      <c r="H136" s="10" t="n">
        <f aca="false">'Encoded Data'!G136</f>
        <v>2</v>
      </c>
      <c r="I136" s="10" t="n">
        <f aca="false">0.675081+0.094264*B136+0.174964*C136+-0.036633*D136+-0.072844*E136+0.053005*F136+-0.116006*G136</f>
        <v>2.23369064</v>
      </c>
      <c r="J136" s="10" t="n">
        <f aca="false">H136-I136</f>
        <v>-0.23369064</v>
      </c>
    </row>
    <row r="137" customFormat="false" ht="15" hidden="false" customHeight="false" outlineLevel="0" collapsed="false">
      <c r="A137" s="3" t="n">
        <v>135</v>
      </c>
      <c r="B137" s="3" t="n">
        <f aca="false">'Encoded Data'!F137</f>
        <v>18.26</v>
      </c>
      <c r="C137" s="3" t="n">
        <f aca="false">'Encoded Data'!E137</f>
        <v>2</v>
      </c>
      <c r="D137" s="3" t="n">
        <f aca="false">'Encoded Data'!A137</f>
        <v>0</v>
      </c>
      <c r="E137" s="3" t="n">
        <f aca="false">'Encoded Data'!B137</f>
        <v>0</v>
      </c>
      <c r="F137" s="3" t="n">
        <f aca="false">'Encoded Data'!C137</f>
        <v>1</v>
      </c>
      <c r="G137" s="3" t="n">
        <f aca="false">'Encoded Data'!D137</f>
        <v>0</v>
      </c>
      <c r="H137" s="8" t="n">
        <f aca="false">'Encoded Data'!G137</f>
        <v>3.25</v>
      </c>
      <c r="I137" s="8" t="n">
        <f aca="false">0.675081+0.094264*B137+0.174964*C137+-0.036633*D137+-0.072844*E137+0.053005*F137+-0.116006*G137</f>
        <v>2.79927464</v>
      </c>
      <c r="J137" s="8" t="n">
        <f aca="false">H137-I137</f>
        <v>0.450725359999999</v>
      </c>
    </row>
    <row r="138" customFormat="false" ht="15" hidden="false" customHeight="false" outlineLevel="0" collapsed="false">
      <c r="A138" s="4" t="n">
        <v>136</v>
      </c>
      <c r="B138" s="4" t="n">
        <f aca="false">'Encoded Data'!F138</f>
        <v>8.51</v>
      </c>
      <c r="C138" s="4" t="n">
        <f aca="false">'Encoded Data'!E138</f>
        <v>2</v>
      </c>
      <c r="D138" s="4" t="n">
        <f aca="false">'Encoded Data'!A138</f>
        <v>0</v>
      </c>
      <c r="E138" s="4" t="n">
        <f aca="false">'Encoded Data'!B138</f>
        <v>0</v>
      </c>
      <c r="F138" s="4" t="n">
        <f aca="false">'Encoded Data'!C138</f>
        <v>1</v>
      </c>
      <c r="G138" s="4" t="n">
        <f aca="false">'Encoded Data'!D138</f>
        <v>0</v>
      </c>
      <c r="H138" s="10" t="n">
        <f aca="false">'Encoded Data'!G138</f>
        <v>1.25</v>
      </c>
      <c r="I138" s="10" t="n">
        <f aca="false">0.675081+0.094264*B138+0.174964*C138+-0.036633*D138+-0.072844*E138+0.053005*F138+-0.116006*G138</f>
        <v>1.88020064</v>
      </c>
      <c r="J138" s="10" t="n">
        <f aca="false">H138-I138</f>
        <v>-0.63020064</v>
      </c>
    </row>
    <row r="139" customFormat="false" ht="15" hidden="false" customHeight="false" outlineLevel="0" collapsed="false">
      <c r="A139" s="3" t="n">
        <v>137</v>
      </c>
      <c r="B139" s="3" t="n">
        <f aca="false">'Encoded Data'!F139</f>
        <v>10.33</v>
      </c>
      <c r="C139" s="3" t="n">
        <f aca="false">'Encoded Data'!E139</f>
        <v>2</v>
      </c>
      <c r="D139" s="3" t="n">
        <f aca="false">'Encoded Data'!A139</f>
        <v>0</v>
      </c>
      <c r="E139" s="3" t="n">
        <f aca="false">'Encoded Data'!B139</f>
        <v>0</v>
      </c>
      <c r="F139" s="3" t="n">
        <f aca="false">'Encoded Data'!C139</f>
        <v>1</v>
      </c>
      <c r="G139" s="3" t="n">
        <f aca="false">'Encoded Data'!D139</f>
        <v>0</v>
      </c>
      <c r="H139" s="8" t="n">
        <f aca="false">'Encoded Data'!G139</f>
        <v>2</v>
      </c>
      <c r="I139" s="8" t="n">
        <f aca="false">0.675081+0.094264*B139+0.174964*C139+-0.036633*D139+-0.072844*E139+0.053005*F139+-0.116006*G139</f>
        <v>2.05176112</v>
      </c>
      <c r="J139" s="8" t="n">
        <f aca="false">H139-I139</f>
        <v>-0.0517611200000001</v>
      </c>
    </row>
    <row r="140" customFormat="false" ht="15" hidden="false" customHeight="false" outlineLevel="0" collapsed="false">
      <c r="A140" s="4" t="n">
        <v>138</v>
      </c>
      <c r="B140" s="4" t="n">
        <f aca="false">'Encoded Data'!F140</f>
        <v>14.15</v>
      </c>
      <c r="C140" s="4" t="n">
        <f aca="false">'Encoded Data'!E140</f>
        <v>2</v>
      </c>
      <c r="D140" s="4" t="n">
        <f aca="false">'Encoded Data'!A140</f>
        <v>0</v>
      </c>
      <c r="E140" s="4" t="n">
        <f aca="false">'Encoded Data'!B140</f>
        <v>0</v>
      </c>
      <c r="F140" s="4" t="n">
        <f aca="false">'Encoded Data'!C140</f>
        <v>1</v>
      </c>
      <c r="G140" s="4" t="n">
        <f aca="false">'Encoded Data'!D140</f>
        <v>0</v>
      </c>
      <c r="H140" s="10" t="n">
        <f aca="false">'Encoded Data'!G140</f>
        <v>2</v>
      </c>
      <c r="I140" s="10" t="n">
        <f aca="false">0.675081+0.094264*B140+0.174964*C140+-0.036633*D140+-0.072844*E140+0.053005*F140+-0.116006*G140</f>
        <v>2.4118496</v>
      </c>
      <c r="J140" s="10" t="n">
        <f aca="false">H140-I140</f>
        <v>-0.411849600000001</v>
      </c>
    </row>
    <row r="141" customFormat="false" ht="15" hidden="false" customHeight="false" outlineLevel="0" collapsed="false">
      <c r="A141" s="3" t="n">
        <v>139</v>
      </c>
      <c r="B141" s="3" t="n">
        <f aca="false">'Encoded Data'!F141</f>
        <v>16</v>
      </c>
      <c r="C141" s="3" t="n">
        <f aca="false">'Encoded Data'!E141</f>
        <v>2</v>
      </c>
      <c r="D141" s="3" t="n">
        <f aca="false">'Encoded Data'!A141</f>
        <v>1</v>
      </c>
      <c r="E141" s="3" t="n">
        <f aca="false">'Encoded Data'!B141</f>
        <v>1</v>
      </c>
      <c r="F141" s="3" t="n">
        <f aca="false">'Encoded Data'!C141</f>
        <v>1</v>
      </c>
      <c r="G141" s="3" t="n">
        <f aca="false">'Encoded Data'!D141</f>
        <v>0</v>
      </c>
      <c r="H141" s="8" t="n">
        <f aca="false">'Encoded Data'!G141</f>
        <v>2</v>
      </c>
      <c r="I141" s="8" t="n">
        <f aca="false">0.675081+0.094264*B141+0.174964*C141+-0.036633*D141+-0.072844*E141+0.053005*F141+-0.116006*G141</f>
        <v>2.476761</v>
      </c>
      <c r="J141" s="8" t="n">
        <f aca="false">H141-I141</f>
        <v>-0.476761</v>
      </c>
    </row>
    <row r="142" customFormat="false" ht="15" hidden="false" customHeight="false" outlineLevel="0" collapsed="false">
      <c r="A142" s="4" t="n">
        <v>140</v>
      </c>
      <c r="B142" s="4" t="n">
        <f aca="false">'Encoded Data'!F142</f>
        <v>13.16</v>
      </c>
      <c r="C142" s="4" t="n">
        <f aca="false">'Encoded Data'!E142</f>
        <v>2</v>
      </c>
      <c r="D142" s="4" t="n">
        <f aca="false">'Encoded Data'!A142</f>
        <v>0</v>
      </c>
      <c r="E142" s="4" t="n">
        <f aca="false">'Encoded Data'!B142</f>
        <v>0</v>
      </c>
      <c r="F142" s="4" t="n">
        <f aca="false">'Encoded Data'!C142</f>
        <v>1</v>
      </c>
      <c r="G142" s="4" t="n">
        <f aca="false">'Encoded Data'!D142</f>
        <v>0</v>
      </c>
      <c r="H142" s="10" t="n">
        <f aca="false">'Encoded Data'!G142</f>
        <v>2.75</v>
      </c>
      <c r="I142" s="10" t="n">
        <f aca="false">0.675081+0.094264*B142+0.174964*C142+-0.036633*D142+-0.072844*E142+0.053005*F142+-0.116006*G142</f>
        <v>2.31852824</v>
      </c>
      <c r="J142" s="10" t="n">
        <f aca="false">H142-I142</f>
        <v>0.43147176</v>
      </c>
    </row>
    <row r="143" customFormat="false" ht="15" hidden="false" customHeight="false" outlineLevel="0" collapsed="false">
      <c r="A143" s="3" t="n">
        <v>141</v>
      </c>
      <c r="B143" s="3" t="n">
        <f aca="false">'Encoded Data'!F143</f>
        <v>17.47</v>
      </c>
      <c r="C143" s="3" t="n">
        <f aca="false">'Encoded Data'!E143</f>
        <v>2</v>
      </c>
      <c r="D143" s="3" t="n">
        <f aca="false">'Encoded Data'!A143</f>
        <v>0</v>
      </c>
      <c r="E143" s="3" t="n">
        <f aca="false">'Encoded Data'!B143</f>
        <v>0</v>
      </c>
      <c r="F143" s="3" t="n">
        <f aca="false">'Encoded Data'!C143</f>
        <v>1</v>
      </c>
      <c r="G143" s="3" t="n">
        <f aca="false">'Encoded Data'!D143</f>
        <v>0</v>
      </c>
      <c r="H143" s="8" t="n">
        <f aca="false">'Encoded Data'!G143</f>
        <v>3.5</v>
      </c>
      <c r="I143" s="8" t="n">
        <f aca="false">0.675081+0.094264*B143+0.174964*C143+-0.036633*D143+-0.072844*E143+0.053005*F143+-0.116006*G143</f>
        <v>2.72480608</v>
      </c>
      <c r="J143" s="8" t="n">
        <f aca="false">H143-I143</f>
        <v>0.77519392</v>
      </c>
    </row>
    <row r="144" customFormat="false" ht="15" hidden="false" customHeight="false" outlineLevel="0" collapsed="false">
      <c r="A144" s="4" t="n">
        <v>142</v>
      </c>
      <c r="B144" s="4" t="n">
        <f aca="false">'Encoded Data'!F144</f>
        <v>34.3</v>
      </c>
      <c r="C144" s="4" t="n">
        <f aca="false">'Encoded Data'!E144</f>
        <v>6</v>
      </c>
      <c r="D144" s="4" t="n">
        <f aca="false">'Encoded Data'!A144</f>
        <v>1</v>
      </c>
      <c r="E144" s="4" t="n">
        <f aca="false">'Encoded Data'!B144</f>
        <v>0</v>
      </c>
      <c r="F144" s="4" t="n">
        <f aca="false">'Encoded Data'!C144</f>
        <v>1</v>
      </c>
      <c r="G144" s="4" t="n">
        <f aca="false">'Encoded Data'!D144</f>
        <v>0</v>
      </c>
      <c r="H144" s="10" t="n">
        <f aca="false">'Encoded Data'!G144</f>
        <v>6.7</v>
      </c>
      <c r="I144" s="10" t="n">
        <f aca="false">0.675081+0.094264*B144+0.174964*C144+-0.036633*D144+-0.072844*E144+0.053005*F144+-0.116006*G144</f>
        <v>4.9744922</v>
      </c>
      <c r="J144" s="10" t="n">
        <f aca="false">H144-I144</f>
        <v>1.7255078</v>
      </c>
    </row>
    <row r="145" customFormat="false" ht="15" hidden="false" customHeight="false" outlineLevel="0" collapsed="false">
      <c r="A145" s="3" t="n">
        <v>143</v>
      </c>
      <c r="B145" s="3" t="n">
        <f aca="false">'Encoded Data'!F145</f>
        <v>41.19</v>
      </c>
      <c r="C145" s="3" t="n">
        <f aca="false">'Encoded Data'!E145</f>
        <v>5</v>
      </c>
      <c r="D145" s="3" t="n">
        <f aca="false">'Encoded Data'!A145</f>
        <v>1</v>
      </c>
      <c r="E145" s="3" t="n">
        <f aca="false">'Encoded Data'!B145</f>
        <v>0</v>
      </c>
      <c r="F145" s="3" t="n">
        <f aca="false">'Encoded Data'!C145</f>
        <v>1</v>
      </c>
      <c r="G145" s="3" t="n">
        <f aca="false">'Encoded Data'!D145</f>
        <v>0</v>
      </c>
      <c r="H145" s="8" t="n">
        <f aca="false">'Encoded Data'!G145</f>
        <v>5</v>
      </c>
      <c r="I145" s="8" t="n">
        <f aca="false">0.675081+0.094264*B145+0.174964*C145+-0.036633*D145+-0.072844*E145+0.053005*F145+-0.116006*G145</f>
        <v>5.44900716</v>
      </c>
      <c r="J145" s="8" t="n">
        <f aca="false">H145-I145</f>
        <v>-0.449007159999999</v>
      </c>
    </row>
    <row r="146" customFormat="false" ht="15" hidden="false" customHeight="false" outlineLevel="0" collapsed="false">
      <c r="A146" s="4" t="n">
        <v>144</v>
      </c>
      <c r="B146" s="4" t="n">
        <f aca="false">'Encoded Data'!F146</f>
        <v>27.05</v>
      </c>
      <c r="C146" s="4" t="n">
        <f aca="false">'Encoded Data'!E146</f>
        <v>6</v>
      </c>
      <c r="D146" s="4" t="n">
        <f aca="false">'Encoded Data'!A146</f>
        <v>0</v>
      </c>
      <c r="E146" s="4" t="n">
        <f aca="false">'Encoded Data'!B146</f>
        <v>0</v>
      </c>
      <c r="F146" s="4" t="n">
        <f aca="false">'Encoded Data'!C146</f>
        <v>1</v>
      </c>
      <c r="G146" s="4" t="n">
        <f aca="false">'Encoded Data'!D146</f>
        <v>0</v>
      </c>
      <c r="H146" s="10" t="n">
        <f aca="false">'Encoded Data'!G146</f>
        <v>5</v>
      </c>
      <c r="I146" s="10" t="n">
        <f aca="false">0.675081+0.094264*B146+0.174964*C146+-0.036633*D146+-0.072844*E146+0.053005*F146+-0.116006*G146</f>
        <v>4.3277112</v>
      </c>
      <c r="J146" s="10" t="n">
        <f aca="false">H146-I146</f>
        <v>0.672288800000001</v>
      </c>
    </row>
    <row r="147" customFormat="false" ht="15" hidden="false" customHeight="false" outlineLevel="0" collapsed="false">
      <c r="A147" s="3" t="n">
        <v>145</v>
      </c>
      <c r="B147" s="3" t="n">
        <f aca="false">'Encoded Data'!F147</f>
        <v>16.43</v>
      </c>
      <c r="C147" s="3" t="n">
        <f aca="false">'Encoded Data'!E147</f>
        <v>2</v>
      </c>
      <c r="D147" s="3" t="n">
        <f aca="false">'Encoded Data'!A147</f>
        <v>0</v>
      </c>
      <c r="E147" s="3" t="n">
        <f aca="false">'Encoded Data'!B147</f>
        <v>0</v>
      </c>
      <c r="F147" s="3" t="n">
        <f aca="false">'Encoded Data'!C147</f>
        <v>1</v>
      </c>
      <c r="G147" s="3" t="n">
        <f aca="false">'Encoded Data'!D147</f>
        <v>0</v>
      </c>
      <c r="H147" s="8" t="n">
        <f aca="false">'Encoded Data'!G147</f>
        <v>2.3</v>
      </c>
      <c r="I147" s="8" t="n">
        <f aca="false">0.675081+0.094264*B147+0.174964*C147+-0.036633*D147+-0.072844*E147+0.053005*F147+-0.116006*G147</f>
        <v>2.62677152</v>
      </c>
      <c r="J147" s="8" t="n">
        <f aca="false">H147-I147</f>
        <v>-0.326771520000001</v>
      </c>
    </row>
    <row r="148" customFormat="false" ht="15" hidden="false" customHeight="false" outlineLevel="0" collapsed="false">
      <c r="A148" s="4" t="n">
        <v>146</v>
      </c>
      <c r="B148" s="4" t="n">
        <f aca="false">'Encoded Data'!F148</f>
        <v>8.35</v>
      </c>
      <c r="C148" s="4" t="n">
        <f aca="false">'Encoded Data'!E148</f>
        <v>2</v>
      </c>
      <c r="D148" s="4" t="n">
        <f aca="false">'Encoded Data'!A148</f>
        <v>0</v>
      </c>
      <c r="E148" s="4" t="n">
        <f aca="false">'Encoded Data'!B148</f>
        <v>0</v>
      </c>
      <c r="F148" s="4" t="n">
        <f aca="false">'Encoded Data'!C148</f>
        <v>1</v>
      </c>
      <c r="G148" s="4" t="n">
        <f aca="false">'Encoded Data'!D148</f>
        <v>0</v>
      </c>
      <c r="H148" s="10" t="n">
        <f aca="false">'Encoded Data'!G148</f>
        <v>1.5</v>
      </c>
      <c r="I148" s="10" t="n">
        <f aca="false">0.675081+0.094264*B148+0.174964*C148+-0.036633*D148+-0.072844*E148+0.053005*F148+-0.116006*G148</f>
        <v>1.8651184</v>
      </c>
      <c r="J148" s="10" t="n">
        <f aca="false">H148-I148</f>
        <v>-0.3651184</v>
      </c>
    </row>
    <row r="149" customFormat="false" ht="15" hidden="false" customHeight="false" outlineLevel="0" collapsed="false">
      <c r="A149" s="3" t="n">
        <v>147</v>
      </c>
      <c r="B149" s="3" t="n">
        <f aca="false">'Encoded Data'!F149</f>
        <v>18.64</v>
      </c>
      <c r="C149" s="3" t="n">
        <f aca="false">'Encoded Data'!E149</f>
        <v>3</v>
      </c>
      <c r="D149" s="3" t="n">
        <f aca="false">'Encoded Data'!A149</f>
        <v>0</v>
      </c>
      <c r="E149" s="3" t="n">
        <f aca="false">'Encoded Data'!B149</f>
        <v>0</v>
      </c>
      <c r="F149" s="3" t="n">
        <f aca="false">'Encoded Data'!C149</f>
        <v>1</v>
      </c>
      <c r="G149" s="3" t="n">
        <f aca="false">'Encoded Data'!D149</f>
        <v>0</v>
      </c>
      <c r="H149" s="8" t="n">
        <f aca="false">'Encoded Data'!G149</f>
        <v>1.36</v>
      </c>
      <c r="I149" s="8" t="n">
        <f aca="false">0.675081+0.094264*B149+0.174964*C149+-0.036633*D149+-0.072844*E149+0.053005*F149+-0.116006*G149</f>
        <v>3.01005896</v>
      </c>
      <c r="J149" s="8" t="n">
        <f aca="false">H149-I149</f>
        <v>-1.65005896</v>
      </c>
    </row>
    <row r="150" customFormat="false" ht="15" hidden="false" customHeight="false" outlineLevel="0" collapsed="false">
      <c r="A150" s="4" t="n">
        <v>148</v>
      </c>
      <c r="B150" s="4" t="n">
        <f aca="false">'Encoded Data'!F150</f>
        <v>11.87</v>
      </c>
      <c r="C150" s="4" t="n">
        <f aca="false">'Encoded Data'!E150</f>
        <v>2</v>
      </c>
      <c r="D150" s="4" t="n">
        <f aca="false">'Encoded Data'!A150</f>
        <v>0</v>
      </c>
      <c r="E150" s="4" t="n">
        <f aca="false">'Encoded Data'!B150</f>
        <v>0</v>
      </c>
      <c r="F150" s="4" t="n">
        <f aca="false">'Encoded Data'!C150</f>
        <v>1</v>
      </c>
      <c r="G150" s="4" t="n">
        <f aca="false">'Encoded Data'!D150</f>
        <v>0</v>
      </c>
      <c r="H150" s="10" t="n">
        <f aca="false">'Encoded Data'!G150</f>
        <v>1.63</v>
      </c>
      <c r="I150" s="10" t="n">
        <f aca="false">0.675081+0.094264*B150+0.174964*C150+-0.036633*D150+-0.072844*E150+0.053005*F150+-0.116006*G150</f>
        <v>2.19692768</v>
      </c>
      <c r="J150" s="10" t="n">
        <f aca="false">H150-I150</f>
        <v>-0.566927680000001</v>
      </c>
    </row>
    <row r="151" customFormat="false" ht="15" hidden="false" customHeight="false" outlineLevel="0" collapsed="false">
      <c r="A151" s="3" t="n">
        <v>149</v>
      </c>
      <c r="B151" s="3" t="n">
        <f aca="false">'Encoded Data'!F151</f>
        <v>9.78</v>
      </c>
      <c r="C151" s="3" t="n">
        <f aca="false">'Encoded Data'!E151</f>
        <v>2</v>
      </c>
      <c r="D151" s="3" t="n">
        <f aca="false">'Encoded Data'!A151</f>
        <v>1</v>
      </c>
      <c r="E151" s="3" t="n">
        <f aca="false">'Encoded Data'!B151</f>
        <v>0</v>
      </c>
      <c r="F151" s="3" t="n">
        <f aca="false">'Encoded Data'!C151</f>
        <v>1</v>
      </c>
      <c r="G151" s="3" t="n">
        <f aca="false">'Encoded Data'!D151</f>
        <v>0</v>
      </c>
      <c r="H151" s="8" t="n">
        <f aca="false">'Encoded Data'!G151</f>
        <v>1.73</v>
      </c>
      <c r="I151" s="8" t="n">
        <f aca="false">0.675081+0.094264*B151+0.174964*C151+-0.036633*D151+-0.072844*E151+0.053005*F151+-0.116006*G151</f>
        <v>1.96328292</v>
      </c>
      <c r="J151" s="8" t="n">
        <f aca="false">H151-I151</f>
        <v>-0.23328292</v>
      </c>
    </row>
    <row r="152" customFormat="false" ht="15" hidden="false" customHeight="false" outlineLevel="0" collapsed="false">
      <c r="A152" s="4" t="n">
        <v>150</v>
      </c>
      <c r="B152" s="4" t="n">
        <f aca="false">'Encoded Data'!F152</f>
        <v>7.51</v>
      </c>
      <c r="C152" s="4" t="n">
        <f aca="false">'Encoded Data'!E152</f>
        <v>2</v>
      </c>
      <c r="D152" s="4" t="n">
        <f aca="false">'Encoded Data'!A152</f>
        <v>1</v>
      </c>
      <c r="E152" s="4" t="n">
        <f aca="false">'Encoded Data'!B152</f>
        <v>0</v>
      </c>
      <c r="F152" s="4" t="n">
        <f aca="false">'Encoded Data'!C152</f>
        <v>1</v>
      </c>
      <c r="G152" s="4" t="n">
        <f aca="false">'Encoded Data'!D152</f>
        <v>0</v>
      </c>
      <c r="H152" s="10" t="n">
        <f aca="false">'Encoded Data'!G152</f>
        <v>2</v>
      </c>
      <c r="I152" s="10" t="n">
        <f aca="false">0.675081+0.094264*B152+0.174964*C152+-0.036633*D152+-0.072844*E152+0.053005*F152+-0.116006*G152</f>
        <v>1.74930364</v>
      </c>
      <c r="J152" s="10" t="n">
        <f aca="false">H152-I152</f>
        <v>0.25069636</v>
      </c>
    </row>
    <row r="153" customFormat="false" ht="15" hidden="false" customHeight="false" outlineLevel="0" collapsed="false">
      <c r="A153" s="3" t="n">
        <v>151</v>
      </c>
      <c r="B153" s="3" t="n">
        <f aca="false">'Encoded Data'!F153</f>
        <v>14.07</v>
      </c>
      <c r="C153" s="3" t="n">
        <f aca="false">'Encoded Data'!E153</f>
        <v>2</v>
      </c>
      <c r="D153" s="3" t="n">
        <f aca="false">'Encoded Data'!A153</f>
        <v>1</v>
      </c>
      <c r="E153" s="3" t="n">
        <f aca="false">'Encoded Data'!B153</f>
        <v>0</v>
      </c>
      <c r="F153" s="3" t="n">
        <f aca="false">'Encoded Data'!C153</f>
        <v>4</v>
      </c>
      <c r="G153" s="3" t="n">
        <f aca="false">'Encoded Data'!D153</f>
        <v>1</v>
      </c>
      <c r="H153" s="8" t="n">
        <f aca="false">'Encoded Data'!G153</f>
        <v>2.5</v>
      </c>
      <c r="I153" s="8" t="n">
        <f aca="false">0.675081+0.094264*B153+0.174964*C153+-0.036633*D153+-0.072844*E153+0.053005*F153+-0.116006*G153</f>
        <v>2.41068448</v>
      </c>
      <c r="J153" s="8" t="n">
        <f aca="false">H153-I153</f>
        <v>0.08931552</v>
      </c>
    </row>
    <row r="154" customFormat="false" ht="15" hidden="false" customHeight="false" outlineLevel="0" collapsed="false">
      <c r="A154" s="4" t="n">
        <v>152</v>
      </c>
      <c r="B154" s="4" t="n">
        <f aca="false">'Encoded Data'!F154</f>
        <v>13.13</v>
      </c>
      <c r="C154" s="4" t="n">
        <f aca="false">'Encoded Data'!E154</f>
        <v>2</v>
      </c>
      <c r="D154" s="4" t="n">
        <f aca="false">'Encoded Data'!A154</f>
        <v>1</v>
      </c>
      <c r="E154" s="4" t="n">
        <f aca="false">'Encoded Data'!B154</f>
        <v>0</v>
      </c>
      <c r="F154" s="4" t="n">
        <f aca="false">'Encoded Data'!C154</f>
        <v>4</v>
      </c>
      <c r="G154" s="4" t="n">
        <f aca="false">'Encoded Data'!D154</f>
        <v>1</v>
      </c>
      <c r="H154" s="10" t="n">
        <f aca="false">'Encoded Data'!G154</f>
        <v>2</v>
      </c>
      <c r="I154" s="10" t="n">
        <f aca="false">0.675081+0.094264*B154+0.174964*C154+-0.036633*D154+-0.072844*E154+0.053005*F154+-0.116006*G154</f>
        <v>2.32207632</v>
      </c>
      <c r="J154" s="10" t="n">
        <f aca="false">H154-I154</f>
        <v>-0.32207632</v>
      </c>
    </row>
    <row r="155" customFormat="false" ht="15" hidden="false" customHeight="false" outlineLevel="0" collapsed="false">
      <c r="A155" s="3" t="n">
        <v>153</v>
      </c>
      <c r="B155" s="3" t="n">
        <f aca="false">'Encoded Data'!F155</f>
        <v>17.26</v>
      </c>
      <c r="C155" s="3" t="n">
        <f aca="false">'Encoded Data'!E155</f>
        <v>3</v>
      </c>
      <c r="D155" s="3" t="n">
        <f aca="false">'Encoded Data'!A155</f>
        <v>1</v>
      </c>
      <c r="E155" s="3" t="n">
        <f aca="false">'Encoded Data'!B155</f>
        <v>0</v>
      </c>
      <c r="F155" s="3" t="n">
        <f aca="false">'Encoded Data'!C155</f>
        <v>4</v>
      </c>
      <c r="G155" s="3" t="n">
        <f aca="false">'Encoded Data'!D155</f>
        <v>1</v>
      </c>
      <c r="H155" s="8" t="n">
        <f aca="false">'Encoded Data'!G155</f>
        <v>2.74</v>
      </c>
      <c r="I155" s="8" t="n">
        <f aca="false">0.675081+0.094264*B155+0.174964*C155+-0.036633*D155+-0.072844*E155+0.053005*F155+-0.116006*G155</f>
        <v>2.88635064</v>
      </c>
      <c r="J155" s="8" t="n">
        <f aca="false">H155-I155</f>
        <v>-0.14635064</v>
      </c>
    </row>
    <row r="156" customFormat="false" ht="15" hidden="false" customHeight="false" outlineLevel="0" collapsed="false">
      <c r="A156" s="4" t="n">
        <v>154</v>
      </c>
      <c r="B156" s="4" t="n">
        <f aca="false">'Encoded Data'!F156</f>
        <v>24.55</v>
      </c>
      <c r="C156" s="4" t="n">
        <f aca="false">'Encoded Data'!E156</f>
        <v>4</v>
      </c>
      <c r="D156" s="4" t="n">
        <f aca="false">'Encoded Data'!A156</f>
        <v>1</v>
      </c>
      <c r="E156" s="4" t="n">
        <f aca="false">'Encoded Data'!B156</f>
        <v>0</v>
      </c>
      <c r="F156" s="4" t="n">
        <f aca="false">'Encoded Data'!C156</f>
        <v>4</v>
      </c>
      <c r="G156" s="4" t="n">
        <f aca="false">'Encoded Data'!D156</f>
        <v>1</v>
      </c>
      <c r="H156" s="10" t="n">
        <f aca="false">'Encoded Data'!G156</f>
        <v>2</v>
      </c>
      <c r="I156" s="10" t="n">
        <f aca="false">0.675081+0.094264*B156+0.174964*C156+-0.036633*D156+-0.072844*E156+0.053005*F156+-0.116006*G156</f>
        <v>3.7484992</v>
      </c>
      <c r="J156" s="10" t="n">
        <f aca="false">H156-I156</f>
        <v>-1.7484992</v>
      </c>
    </row>
    <row r="157" customFormat="false" ht="15" hidden="false" customHeight="false" outlineLevel="0" collapsed="false">
      <c r="A157" s="3" t="n">
        <v>155</v>
      </c>
      <c r="B157" s="3" t="n">
        <f aca="false">'Encoded Data'!F157</f>
        <v>19.77</v>
      </c>
      <c r="C157" s="3" t="n">
        <f aca="false">'Encoded Data'!E157</f>
        <v>4</v>
      </c>
      <c r="D157" s="3" t="n">
        <f aca="false">'Encoded Data'!A157</f>
        <v>1</v>
      </c>
      <c r="E157" s="3" t="n">
        <f aca="false">'Encoded Data'!B157</f>
        <v>0</v>
      </c>
      <c r="F157" s="3" t="n">
        <f aca="false">'Encoded Data'!C157</f>
        <v>4</v>
      </c>
      <c r="G157" s="3" t="n">
        <f aca="false">'Encoded Data'!D157</f>
        <v>1</v>
      </c>
      <c r="H157" s="8" t="n">
        <f aca="false">'Encoded Data'!G157</f>
        <v>2</v>
      </c>
      <c r="I157" s="8" t="n">
        <f aca="false">0.675081+0.094264*B157+0.174964*C157+-0.036633*D157+-0.072844*E157+0.053005*F157+-0.116006*G157</f>
        <v>3.29791728</v>
      </c>
      <c r="J157" s="8" t="n">
        <f aca="false">H157-I157</f>
        <v>-1.29791728</v>
      </c>
    </row>
    <row r="158" customFormat="false" ht="15" hidden="false" customHeight="false" outlineLevel="0" collapsed="false">
      <c r="A158" s="4" t="n">
        <v>156</v>
      </c>
      <c r="B158" s="4" t="n">
        <f aca="false">'Encoded Data'!F158</f>
        <v>29.85</v>
      </c>
      <c r="C158" s="4" t="n">
        <f aca="false">'Encoded Data'!E158</f>
        <v>5</v>
      </c>
      <c r="D158" s="4" t="n">
        <f aca="false">'Encoded Data'!A158</f>
        <v>0</v>
      </c>
      <c r="E158" s="4" t="n">
        <f aca="false">'Encoded Data'!B158</f>
        <v>0</v>
      </c>
      <c r="F158" s="4" t="n">
        <f aca="false">'Encoded Data'!C158</f>
        <v>4</v>
      </c>
      <c r="G158" s="4" t="n">
        <f aca="false">'Encoded Data'!D158</f>
        <v>1</v>
      </c>
      <c r="H158" s="10" t="n">
        <f aca="false">'Encoded Data'!G158</f>
        <v>5.14</v>
      </c>
      <c r="I158" s="10" t="n">
        <f aca="false">0.675081+0.094264*B158+0.174964*C158+-0.036633*D158+-0.072844*E158+0.053005*F158+-0.116006*G158</f>
        <v>4.4596954</v>
      </c>
      <c r="J158" s="10" t="n">
        <f aca="false">H158-I158</f>
        <v>0.6803046</v>
      </c>
    </row>
    <row r="159" customFormat="false" ht="15" hidden="false" customHeight="false" outlineLevel="0" collapsed="false">
      <c r="A159" s="3" t="n">
        <v>157</v>
      </c>
      <c r="B159" s="3" t="n">
        <f aca="false">'Encoded Data'!F159</f>
        <v>48.17</v>
      </c>
      <c r="C159" s="3" t="n">
        <f aca="false">'Encoded Data'!E159</f>
        <v>6</v>
      </c>
      <c r="D159" s="3" t="n">
        <f aca="false">'Encoded Data'!A159</f>
        <v>1</v>
      </c>
      <c r="E159" s="3" t="n">
        <f aca="false">'Encoded Data'!B159</f>
        <v>0</v>
      </c>
      <c r="F159" s="3" t="n">
        <f aca="false">'Encoded Data'!C159</f>
        <v>4</v>
      </c>
      <c r="G159" s="3" t="n">
        <f aca="false">'Encoded Data'!D159</f>
        <v>1</v>
      </c>
      <c r="H159" s="8" t="n">
        <f aca="false">'Encoded Data'!G159</f>
        <v>5</v>
      </c>
      <c r="I159" s="8" t="n">
        <f aca="false">0.675081+0.094264*B159+0.174964*C159+-0.036633*D159+-0.072844*E159+0.053005*F159+-0.116006*G159</f>
        <v>6.32494288</v>
      </c>
      <c r="J159" s="8" t="n">
        <f aca="false">H159-I159</f>
        <v>-1.32494288</v>
      </c>
    </row>
    <row r="160" customFormat="false" ht="15" hidden="false" customHeight="false" outlineLevel="0" collapsed="false">
      <c r="A160" s="4" t="n">
        <v>158</v>
      </c>
      <c r="B160" s="4" t="n">
        <f aca="false">'Encoded Data'!F160</f>
        <v>25</v>
      </c>
      <c r="C160" s="4" t="n">
        <f aca="false">'Encoded Data'!E160</f>
        <v>4</v>
      </c>
      <c r="D160" s="4" t="n">
        <f aca="false">'Encoded Data'!A160</f>
        <v>0</v>
      </c>
      <c r="E160" s="4" t="n">
        <f aca="false">'Encoded Data'!B160</f>
        <v>0</v>
      </c>
      <c r="F160" s="4" t="n">
        <f aca="false">'Encoded Data'!C160</f>
        <v>4</v>
      </c>
      <c r="G160" s="4" t="n">
        <f aca="false">'Encoded Data'!D160</f>
        <v>1</v>
      </c>
      <c r="H160" s="10" t="n">
        <f aca="false">'Encoded Data'!G160</f>
        <v>3.75</v>
      </c>
      <c r="I160" s="10" t="n">
        <f aca="false">0.675081+0.094264*B160+0.174964*C160+-0.036633*D160+-0.072844*E160+0.053005*F160+-0.116006*G160</f>
        <v>3.827551</v>
      </c>
      <c r="J160" s="10" t="n">
        <f aca="false">H160-I160</f>
        <v>-0.0775509999999997</v>
      </c>
    </row>
    <row r="161" customFormat="false" ht="15" hidden="false" customHeight="false" outlineLevel="0" collapsed="false">
      <c r="A161" s="3" t="n">
        <v>159</v>
      </c>
      <c r="B161" s="3" t="n">
        <f aca="false">'Encoded Data'!F161</f>
        <v>13.39</v>
      </c>
      <c r="C161" s="3" t="n">
        <f aca="false">'Encoded Data'!E161</f>
        <v>2</v>
      </c>
      <c r="D161" s="3" t="n">
        <f aca="false">'Encoded Data'!A161</f>
        <v>0</v>
      </c>
      <c r="E161" s="3" t="n">
        <f aca="false">'Encoded Data'!B161</f>
        <v>0</v>
      </c>
      <c r="F161" s="3" t="n">
        <f aca="false">'Encoded Data'!C161</f>
        <v>4</v>
      </c>
      <c r="G161" s="3" t="n">
        <f aca="false">'Encoded Data'!D161</f>
        <v>1</v>
      </c>
      <c r="H161" s="8" t="n">
        <f aca="false">'Encoded Data'!G161</f>
        <v>2.61</v>
      </c>
      <c r="I161" s="8" t="n">
        <f aca="false">0.675081+0.094264*B161+0.174964*C161+-0.036633*D161+-0.072844*E161+0.053005*F161+-0.116006*G161</f>
        <v>2.38321796</v>
      </c>
      <c r="J161" s="8" t="n">
        <f aca="false">H161-I161</f>
        <v>0.22678204</v>
      </c>
    </row>
    <row r="162" customFormat="false" ht="15" hidden="false" customHeight="false" outlineLevel="0" collapsed="false">
      <c r="A162" s="4" t="n">
        <v>160</v>
      </c>
      <c r="B162" s="4" t="n">
        <f aca="false">'Encoded Data'!F162</f>
        <v>16.49</v>
      </c>
      <c r="C162" s="4" t="n">
        <f aca="false">'Encoded Data'!E162</f>
        <v>4</v>
      </c>
      <c r="D162" s="4" t="n">
        <f aca="false">'Encoded Data'!A162</f>
        <v>1</v>
      </c>
      <c r="E162" s="4" t="n">
        <f aca="false">'Encoded Data'!B162</f>
        <v>0</v>
      </c>
      <c r="F162" s="4" t="n">
        <f aca="false">'Encoded Data'!C162</f>
        <v>4</v>
      </c>
      <c r="G162" s="4" t="n">
        <f aca="false">'Encoded Data'!D162</f>
        <v>1</v>
      </c>
      <c r="H162" s="10" t="n">
        <f aca="false">'Encoded Data'!G162</f>
        <v>2</v>
      </c>
      <c r="I162" s="10" t="n">
        <f aca="false">0.675081+0.094264*B162+0.174964*C162+-0.036633*D162+-0.072844*E162+0.053005*F162+-0.116006*G162</f>
        <v>2.98873136</v>
      </c>
      <c r="J162" s="10" t="n">
        <f aca="false">H162-I162</f>
        <v>-0.98873136</v>
      </c>
    </row>
    <row r="163" customFormat="false" ht="15" hidden="false" customHeight="false" outlineLevel="0" collapsed="false">
      <c r="A163" s="3" t="n">
        <v>161</v>
      </c>
      <c r="B163" s="3" t="n">
        <f aca="false">'Encoded Data'!F163</f>
        <v>21.5</v>
      </c>
      <c r="C163" s="3" t="n">
        <f aca="false">'Encoded Data'!E163</f>
        <v>4</v>
      </c>
      <c r="D163" s="3" t="n">
        <f aca="false">'Encoded Data'!A163</f>
        <v>1</v>
      </c>
      <c r="E163" s="3" t="n">
        <f aca="false">'Encoded Data'!B163</f>
        <v>0</v>
      </c>
      <c r="F163" s="3" t="n">
        <f aca="false">'Encoded Data'!C163</f>
        <v>4</v>
      </c>
      <c r="G163" s="3" t="n">
        <f aca="false">'Encoded Data'!D163</f>
        <v>1</v>
      </c>
      <c r="H163" s="8" t="n">
        <f aca="false">'Encoded Data'!G163</f>
        <v>3.5</v>
      </c>
      <c r="I163" s="8" t="n">
        <f aca="false">0.675081+0.094264*B163+0.174964*C163+-0.036633*D163+-0.072844*E163+0.053005*F163+-0.116006*G163</f>
        <v>3.460994</v>
      </c>
      <c r="J163" s="8" t="n">
        <f aca="false">H163-I163</f>
        <v>0.0390060000000001</v>
      </c>
    </row>
    <row r="164" customFormat="false" ht="15" hidden="false" customHeight="false" outlineLevel="0" collapsed="false">
      <c r="A164" s="4" t="n">
        <v>162</v>
      </c>
      <c r="B164" s="4" t="n">
        <f aca="false">'Encoded Data'!F164</f>
        <v>12.66</v>
      </c>
      <c r="C164" s="4" t="n">
        <f aca="false">'Encoded Data'!E164</f>
        <v>2</v>
      </c>
      <c r="D164" s="4" t="n">
        <f aca="false">'Encoded Data'!A164</f>
        <v>1</v>
      </c>
      <c r="E164" s="4" t="n">
        <f aca="false">'Encoded Data'!B164</f>
        <v>0</v>
      </c>
      <c r="F164" s="4" t="n">
        <f aca="false">'Encoded Data'!C164</f>
        <v>4</v>
      </c>
      <c r="G164" s="4" t="n">
        <f aca="false">'Encoded Data'!D164</f>
        <v>1</v>
      </c>
      <c r="H164" s="10" t="n">
        <f aca="false">'Encoded Data'!G164</f>
        <v>2.5</v>
      </c>
      <c r="I164" s="10" t="n">
        <f aca="false">0.675081+0.094264*B164+0.174964*C164+-0.036633*D164+-0.072844*E164+0.053005*F164+-0.116006*G164</f>
        <v>2.27777224</v>
      </c>
      <c r="J164" s="10" t="n">
        <f aca="false">H164-I164</f>
        <v>0.22222776</v>
      </c>
    </row>
    <row r="165" customFormat="false" ht="15" hidden="false" customHeight="false" outlineLevel="0" collapsed="false">
      <c r="A165" s="3" t="n">
        <v>163</v>
      </c>
      <c r="B165" s="3" t="n">
        <f aca="false">'Encoded Data'!F165</f>
        <v>16.21</v>
      </c>
      <c r="C165" s="3" t="n">
        <f aca="false">'Encoded Data'!E165</f>
        <v>3</v>
      </c>
      <c r="D165" s="3" t="n">
        <f aca="false">'Encoded Data'!A165</f>
        <v>0</v>
      </c>
      <c r="E165" s="3" t="n">
        <f aca="false">'Encoded Data'!B165</f>
        <v>0</v>
      </c>
      <c r="F165" s="3" t="n">
        <f aca="false">'Encoded Data'!C165</f>
        <v>4</v>
      </c>
      <c r="G165" s="3" t="n">
        <f aca="false">'Encoded Data'!D165</f>
        <v>1</v>
      </c>
      <c r="H165" s="8" t="n">
        <f aca="false">'Encoded Data'!G165</f>
        <v>2</v>
      </c>
      <c r="I165" s="8" t="n">
        <f aca="false">0.675081+0.094264*B165+0.174964*C165+-0.036633*D165+-0.072844*E165+0.053005*F165+-0.116006*G165</f>
        <v>2.82400644</v>
      </c>
      <c r="J165" s="8" t="n">
        <f aca="false">H165-I165</f>
        <v>-0.82400644</v>
      </c>
    </row>
    <row r="166" customFormat="false" ht="15" hidden="false" customHeight="false" outlineLevel="0" collapsed="false">
      <c r="A166" s="4" t="n">
        <v>164</v>
      </c>
      <c r="B166" s="4" t="n">
        <f aca="false">'Encoded Data'!F166</f>
        <v>13.81</v>
      </c>
      <c r="C166" s="4" t="n">
        <f aca="false">'Encoded Data'!E166</f>
        <v>2</v>
      </c>
      <c r="D166" s="4" t="n">
        <f aca="false">'Encoded Data'!A166</f>
        <v>1</v>
      </c>
      <c r="E166" s="4" t="n">
        <f aca="false">'Encoded Data'!B166</f>
        <v>0</v>
      </c>
      <c r="F166" s="4" t="n">
        <f aca="false">'Encoded Data'!C166</f>
        <v>4</v>
      </c>
      <c r="G166" s="4" t="n">
        <f aca="false">'Encoded Data'!D166</f>
        <v>1</v>
      </c>
      <c r="H166" s="10" t="n">
        <f aca="false">'Encoded Data'!G166</f>
        <v>2</v>
      </c>
      <c r="I166" s="10" t="n">
        <f aca="false">0.675081+0.094264*B166+0.174964*C166+-0.036633*D166+-0.072844*E166+0.053005*F166+-0.116006*G166</f>
        <v>2.38617584</v>
      </c>
      <c r="J166" s="10" t="n">
        <f aca="false">H166-I166</f>
        <v>-0.38617584</v>
      </c>
    </row>
    <row r="167" customFormat="false" ht="15" hidden="false" customHeight="false" outlineLevel="0" collapsed="false">
      <c r="A167" s="3" t="n">
        <v>165</v>
      </c>
      <c r="B167" s="3" t="n">
        <f aca="false">'Encoded Data'!F167</f>
        <v>17.51</v>
      </c>
      <c r="C167" s="3" t="n">
        <f aca="false">'Encoded Data'!E167</f>
        <v>2</v>
      </c>
      <c r="D167" s="3" t="n">
        <f aca="false">'Encoded Data'!A167</f>
        <v>0</v>
      </c>
      <c r="E167" s="3" t="n">
        <f aca="false">'Encoded Data'!B167</f>
        <v>1</v>
      </c>
      <c r="F167" s="3" t="n">
        <f aca="false">'Encoded Data'!C167</f>
        <v>4</v>
      </c>
      <c r="G167" s="3" t="n">
        <f aca="false">'Encoded Data'!D167</f>
        <v>1</v>
      </c>
      <c r="H167" s="8" t="n">
        <f aca="false">'Encoded Data'!G167</f>
        <v>3</v>
      </c>
      <c r="I167" s="8" t="n">
        <f aca="false">0.675081+0.094264*B167+0.174964*C167+-0.036633*D167+-0.072844*E167+0.053005*F167+-0.116006*G167</f>
        <v>2.69874164</v>
      </c>
      <c r="J167" s="8" t="n">
        <f aca="false">H167-I167</f>
        <v>0.30125836</v>
      </c>
    </row>
    <row r="168" customFormat="false" ht="15" hidden="false" customHeight="false" outlineLevel="0" collapsed="false">
      <c r="A168" s="4" t="n">
        <v>166</v>
      </c>
      <c r="B168" s="4" t="n">
        <f aca="false">'Encoded Data'!F168</f>
        <v>24.52</v>
      </c>
      <c r="C168" s="4" t="n">
        <f aca="false">'Encoded Data'!E168</f>
        <v>3</v>
      </c>
      <c r="D168" s="4" t="n">
        <f aca="false">'Encoded Data'!A168</f>
        <v>1</v>
      </c>
      <c r="E168" s="4" t="n">
        <f aca="false">'Encoded Data'!B168</f>
        <v>0</v>
      </c>
      <c r="F168" s="4" t="n">
        <f aca="false">'Encoded Data'!C168</f>
        <v>4</v>
      </c>
      <c r="G168" s="4" t="n">
        <f aca="false">'Encoded Data'!D168</f>
        <v>1</v>
      </c>
      <c r="H168" s="10" t="n">
        <f aca="false">'Encoded Data'!G168</f>
        <v>3.48</v>
      </c>
      <c r="I168" s="10" t="n">
        <f aca="false">0.675081+0.094264*B168+0.174964*C168+-0.036633*D168+-0.072844*E168+0.053005*F168+-0.116006*G168</f>
        <v>3.57070728</v>
      </c>
      <c r="J168" s="10" t="n">
        <f aca="false">H168-I168</f>
        <v>-0.0907072799999997</v>
      </c>
    </row>
    <row r="169" customFormat="false" ht="15" hidden="false" customHeight="false" outlineLevel="0" collapsed="false">
      <c r="A169" s="3" t="n">
        <v>167</v>
      </c>
      <c r="B169" s="3" t="n">
        <f aca="false">'Encoded Data'!F169</f>
        <v>20.76</v>
      </c>
      <c r="C169" s="3" t="n">
        <f aca="false">'Encoded Data'!E169</f>
        <v>2</v>
      </c>
      <c r="D169" s="3" t="n">
        <f aca="false">'Encoded Data'!A169</f>
        <v>1</v>
      </c>
      <c r="E169" s="3" t="n">
        <f aca="false">'Encoded Data'!B169</f>
        <v>0</v>
      </c>
      <c r="F169" s="3" t="n">
        <f aca="false">'Encoded Data'!C169</f>
        <v>4</v>
      </c>
      <c r="G169" s="3" t="n">
        <f aca="false">'Encoded Data'!D169</f>
        <v>1</v>
      </c>
      <c r="H169" s="8" t="n">
        <f aca="false">'Encoded Data'!G169</f>
        <v>2.24</v>
      </c>
      <c r="I169" s="8" t="n">
        <f aca="false">0.675081+0.094264*B169+0.174964*C169+-0.036633*D169+-0.072844*E169+0.053005*F169+-0.116006*G169</f>
        <v>3.04131064</v>
      </c>
      <c r="J169" s="8" t="n">
        <f aca="false">H169-I169</f>
        <v>-0.80131064</v>
      </c>
    </row>
    <row r="170" customFormat="false" ht="15" hidden="false" customHeight="false" outlineLevel="0" collapsed="false">
      <c r="A170" s="4" t="n">
        <v>168</v>
      </c>
      <c r="B170" s="4" t="n">
        <f aca="false">'Encoded Data'!F170</f>
        <v>31.71</v>
      </c>
      <c r="C170" s="4" t="n">
        <f aca="false">'Encoded Data'!E170</f>
        <v>4</v>
      </c>
      <c r="D170" s="4" t="n">
        <f aca="false">'Encoded Data'!A170</f>
        <v>1</v>
      </c>
      <c r="E170" s="4" t="n">
        <f aca="false">'Encoded Data'!B170</f>
        <v>0</v>
      </c>
      <c r="F170" s="4" t="n">
        <f aca="false">'Encoded Data'!C170</f>
        <v>4</v>
      </c>
      <c r="G170" s="4" t="n">
        <f aca="false">'Encoded Data'!D170</f>
        <v>1</v>
      </c>
      <c r="H170" s="10" t="n">
        <f aca="false">'Encoded Data'!G170</f>
        <v>4.5</v>
      </c>
      <c r="I170" s="10" t="n">
        <f aca="false">0.675081+0.094264*B170+0.174964*C170+-0.036633*D170+-0.072844*E170+0.053005*F170+-0.116006*G170</f>
        <v>4.42342944</v>
      </c>
      <c r="J170" s="10" t="n">
        <f aca="false">H170-I170</f>
        <v>0.0765705599999995</v>
      </c>
    </row>
    <row r="171" customFormat="false" ht="15" hidden="false" customHeight="false" outlineLevel="0" collapsed="false">
      <c r="A171" s="3" t="n">
        <v>169</v>
      </c>
      <c r="B171" s="3" t="n">
        <f aca="false">'Encoded Data'!F171</f>
        <v>10.59</v>
      </c>
      <c r="C171" s="3" t="n">
        <f aca="false">'Encoded Data'!E171</f>
        <v>2</v>
      </c>
      <c r="D171" s="3" t="n">
        <f aca="false">'Encoded Data'!A171</f>
        <v>0</v>
      </c>
      <c r="E171" s="3" t="n">
        <f aca="false">'Encoded Data'!B171</f>
        <v>1</v>
      </c>
      <c r="F171" s="3" t="n">
        <f aca="false">'Encoded Data'!C171</f>
        <v>3</v>
      </c>
      <c r="G171" s="3" t="n">
        <f aca="false">'Encoded Data'!D171</f>
        <v>1</v>
      </c>
      <c r="H171" s="8" t="n">
        <f aca="false">'Encoded Data'!G171</f>
        <v>1.61</v>
      </c>
      <c r="I171" s="8" t="n">
        <f aca="false">0.675081+0.094264*B171+0.174964*C171+-0.036633*D171+-0.072844*E171+0.053005*F171+-0.116006*G171</f>
        <v>1.99342976</v>
      </c>
      <c r="J171" s="8" t="n">
        <f aca="false">H171-I171</f>
        <v>-0.38342976</v>
      </c>
    </row>
    <row r="172" customFormat="false" ht="15" hidden="false" customHeight="false" outlineLevel="0" collapsed="false">
      <c r="A172" s="4" t="n">
        <v>170</v>
      </c>
      <c r="B172" s="4" t="n">
        <f aca="false">'Encoded Data'!F172</f>
        <v>10.63</v>
      </c>
      <c r="C172" s="4" t="n">
        <f aca="false">'Encoded Data'!E172</f>
        <v>2</v>
      </c>
      <c r="D172" s="4" t="n">
        <f aca="false">'Encoded Data'!A172</f>
        <v>0</v>
      </c>
      <c r="E172" s="4" t="n">
        <f aca="false">'Encoded Data'!B172</f>
        <v>1</v>
      </c>
      <c r="F172" s="4" t="n">
        <f aca="false">'Encoded Data'!C172</f>
        <v>3</v>
      </c>
      <c r="G172" s="4" t="n">
        <f aca="false">'Encoded Data'!D172</f>
        <v>1</v>
      </c>
      <c r="H172" s="10" t="n">
        <f aca="false">'Encoded Data'!G172</f>
        <v>2</v>
      </c>
      <c r="I172" s="10" t="n">
        <f aca="false">0.675081+0.094264*B172+0.174964*C172+-0.036633*D172+-0.072844*E172+0.053005*F172+-0.116006*G172</f>
        <v>1.99720032</v>
      </c>
      <c r="J172" s="10" t="n">
        <f aca="false">H172-I172</f>
        <v>0.00279967999999942</v>
      </c>
    </row>
    <row r="173" customFormat="false" ht="15" hidden="false" customHeight="false" outlineLevel="0" collapsed="false">
      <c r="A173" s="3" t="n">
        <v>171</v>
      </c>
      <c r="B173" s="3" t="n">
        <f aca="false">'Encoded Data'!F173</f>
        <v>50.81</v>
      </c>
      <c r="C173" s="3" t="n">
        <f aca="false">'Encoded Data'!E173</f>
        <v>3</v>
      </c>
      <c r="D173" s="3" t="n">
        <f aca="false">'Encoded Data'!A173</f>
        <v>1</v>
      </c>
      <c r="E173" s="3" t="n">
        <f aca="false">'Encoded Data'!B173</f>
        <v>1</v>
      </c>
      <c r="F173" s="3" t="n">
        <f aca="false">'Encoded Data'!C173</f>
        <v>3</v>
      </c>
      <c r="G173" s="3" t="n">
        <f aca="false">'Encoded Data'!D173</f>
        <v>1</v>
      </c>
      <c r="H173" s="8" t="n">
        <f aca="false">'Encoded Data'!G173</f>
        <v>10</v>
      </c>
      <c r="I173" s="8" t="n">
        <f aca="false">0.675081+0.094264*B173+0.174964*C173+-0.036633*D173+-0.072844*E173+0.053005*F173+-0.116006*G173</f>
        <v>5.92305884</v>
      </c>
      <c r="J173" s="8" t="n">
        <f aca="false">H173-I173</f>
        <v>4.07694116</v>
      </c>
    </row>
    <row r="174" customFormat="false" ht="15" hidden="false" customHeight="false" outlineLevel="0" collapsed="false">
      <c r="A174" s="4" t="n">
        <v>172</v>
      </c>
      <c r="B174" s="4" t="n">
        <f aca="false">'Encoded Data'!F174</f>
        <v>15.81</v>
      </c>
      <c r="C174" s="4" t="n">
        <f aca="false">'Encoded Data'!E174</f>
        <v>2</v>
      </c>
      <c r="D174" s="4" t="n">
        <f aca="false">'Encoded Data'!A174</f>
        <v>1</v>
      </c>
      <c r="E174" s="4" t="n">
        <f aca="false">'Encoded Data'!B174</f>
        <v>1</v>
      </c>
      <c r="F174" s="4" t="n">
        <f aca="false">'Encoded Data'!C174</f>
        <v>3</v>
      </c>
      <c r="G174" s="4" t="n">
        <f aca="false">'Encoded Data'!D174</f>
        <v>1</v>
      </c>
      <c r="H174" s="10" t="n">
        <f aca="false">'Encoded Data'!G174</f>
        <v>3.16</v>
      </c>
      <c r="I174" s="10" t="n">
        <f aca="false">0.675081+0.094264*B174+0.174964*C174+-0.036633*D174+-0.072844*E174+0.053005*F174+-0.116006*G174</f>
        <v>2.44885484</v>
      </c>
      <c r="J174" s="10" t="n">
        <f aca="false">H174-I174</f>
        <v>0.71114516</v>
      </c>
    </row>
    <row r="175" customFormat="false" ht="15" hidden="false" customHeight="false" outlineLevel="0" collapsed="false">
      <c r="A175" s="3" t="n">
        <v>173</v>
      </c>
      <c r="B175" s="3" t="n">
        <f aca="false">'Encoded Data'!F175</f>
        <v>7.25</v>
      </c>
      <c r="C175" s="3" t="n">
        <f aca="false">'Encoded Data'!E175</f>
        <v>2</v>
      </c>
      <c r="D175" s="3" t="n">
        <f aca="false">'Encoded Data'!A175</f>
        <v>1</v>
      </c>
      <c r="E175" s="3" t="n">
        <f aca="false">'Encoded Data'!B175</f>
        <v>1</v>
      </c>
      <c r="F175" s="3" t="n">
        <f aca="false">'Encoded Data'!C175</f>
        <v>4</v>
      </c>
      <c r="G175" s="3" t="n">
        <f aca="false">'Encoded Data'!D175</f>
        <v>1</v>
      </c>
      <c r="H175" s="8" t="n">
        <f aca="false">'Encoded Data'!G175</f>
        <v>5.15</v>
      </c>
      <c r="I175" s="8" t="n">
        <f aca="false">0.675081+0.094264*B175+0.174964*C175+-0.036633*D175+-0.072844*E175+0.053005*F175+-0.116006*G175</f>
        <v>1.69496</v>
      </c>
      <c r="J175" s="8" t="n">
        <f aca="false">H175-I175</f>
        <v>3.45504</v>
      </c>
    </row>
    <row r="176" customFormat="false" ht="15" hidden="false" customHeight="false" outlineLevel="0" collapsed="false">
      <c r="A176" s="4" t="n">
        <v>174</v>
      </c>
      <c r="B176" s="4" t="n">
        <f aca="false">'Encoded Data'!F176</f>
        <v>31.85</v>
      </c>
      <c r="C176" s="4" t="n">
        <f aca="false">'Encoded Data'!E176</f>
        <v>2</v>
      </c>
      <c r="D176" s="4" t="n">
        <f aca="false">'Encoded Data'!A176</f>
        <v>1</v>
      </c>
      <c r="E176" s="4" t="n">
        <f aca="false">'Encoded Data'!B176</f>
        <v>1</v>
      </c>
      <c r="F176" s="4" t="n">
        <f aca="false">'Encoded Data'!C176</f>
        <v>4</v>
      </c>
      <c r="G176" s="4" t="n">
        <f aca="false">'Encoded Data'!D176</f>
        <v>1</v>
      </c>
      <c r="H176" s="10" t="n">
        <f aca="false">'Encoded Data'!G176</f>
        <v>3.18</v>
      </c>
      <c r="I176" s="10" t="n">
        <f aca="false">0.675081+0.094264*B176+0.174964*C176+-0.036633*D176+-0.072844*E176+0.053005*F176+-0.116006*G176</f>
        <v>4.0138544</v>
      </c>
      <c r="J176" s="10" t="n">
        <f aca="false">H176-I176</f>
        <v>-0.8338544</v>
      </c>
    </row>
    <row r="177" customFormat="false" ht="15" hidden="false" customHeight="false" outlineLevel="0" collapsed="false">
      <c r="A177" s="3" t="n">
        <v>175</v>
      </c>
      <c r="B177" s="3" t="n">
        <f aca="false">'Encoded Data'!F177</f>
        <v>16.82</v>
      </c>
      <c r="C177" s="3" t="n">
        <f aca="false">'Encoded Data'!E177</f>
        <v>2</v>
      </c>
      <c r="D177" s="3" t="n">
        <f aca="false">'Encoded Data'!A177</f>
        <v>1</v>
      </c>
      <c r="E177" s="3" t="n">
        <f aca="false">'Encoded Data'!B177</f>
        <v>1</v>
      </c>
      <c r="F177" s="3" t="n">
        <f aca="false">'Encoded Data'!C177</f>
        <v>4</v>
      </c>
      <c r="G177" s="3" t="n">
        <f aca="false">'Encoded Data'!D177</f>
        <v>1</v>
      </c>
      <c r="H177" s="8" t="n">
        <f aca="false">'Encoded Data'!G177</f>
        <v>4</v>
      </c>
      <c r="I177" s="8" t="n">
        <f aca="false">0.675081+0.094264*B177+0.174964*C177+-0.036633*D177+-0.072844*E177+0.053005*F177+-0.116006*G177</f>
        <v>2.59706648</v>
      </c>
      <c r="J177" s="8" t="n">
        <f aca="false">H177-I177</f>
        <v>1.40293352</v>
      </c>
    </row>
    <row r="178" customFormat="false" ht="15" hidden="false" customHeight="false" outlineLevel="0" collapsed="false">
      <c r="A178" s="4" t="n">
        <v>176</v>
      </c>
      <c r="B178" s="4" t="n">
        <f aca="false">'Encoded Data'!F178</f>
        <v>32.9</v>
      </c>
      <c r="C178" s="4" t="n">
        <f aca="false">'Encoded Data'!E178</f>
        <v>2</v>
      </c>
      <c r="D178" s="4" t="n">
        <f aca="false">'Encoded Data'!A178</f>
        <v>1</v>
      </c>
      <c r="E178" s="4" t="n">
        <f aca="false">'Encoded Data'!B178</f>
        <v>1</v>
      </c>
      <c r="F178" s="4" t="n">
        <f aca="false">'Encoded Data'!C178</f>
        <v>4</v>
      </c>
      <c r="G178" s="4" t="n">
        <f aca="false">'Encoded Data'!D178</f>
        <v>1</v>
      </c>
      <c r="H178" s="10" t="n">
        <f aca="false">'Encoded Data'!G178</f>
        <v>3.11</v>
      </c>
      <c r="I178" s="10" t="n">
        <f aca="false">0.675081+0.094264*B178+0.174964*C178+-0.036633*D178+-0.072844*E178+0.053005*F178+-0.116006*G178</f>
        <v>4.1128316</v>
      </c>
      <c r="J178" s="10" t="n">
        <f aca="false">H178-I178</f>
        <v>-1.0028316</v>
      </c>
    </row>
    <row r="179" customFormat="false" ht="15" hidden="false" customHeight="false" outlineLevel="0" collapsed="false">
      <c r="A179" s="3" t="n">
        <v>177</v>
      </c>
      <c r="B179" s="3" t="n">
        <f aca="false">'Encoded Data'!F179</f>
        <v>17.89</v>
      </c>
      <c r="C179" s="3" t="n">
        <f aca="false">'Encoded Data'!E179</f>
        <v>2</v>
      </c>
      <c r="D179" s="3" t="n">
        <f aca="false">'Encoded Data'!A179</f>
        <v>1</v>
      </c>
      <c r="E179" s="3" t="n">
        <f aca="false">'Encoded Data'!B179</f>
        <v>1</v>
      </c>
      <c r="F179" s="3" t="n">
        <f aca="false">'Encoded Data'!C179</f>
        <v>4</v>
      </c>
      <c r="G179" s="3" t="n">
        <f aca="false">'Encoded Data'!D179</f>
        <v>1</v>
      </c>
      <c r="H179" s="8" t="n">
        <f aca="false">'Encoded Data'!G179</f>
        <v>2</v>
      </c>
      <c r="I179" s="8" t="n">
        <f aca="false">0.675081+0.094264*B179+0.174964*C179+-0.036633*D179+-0.072844*E179+0.053005*F179+-0.116006*G179</f>
        <v>2.69792896</v>
      </c>
      <c r="J179" s="8" t="n">
        <f aca="false">H179-I179</f>
        <v>-0.69792896</v>
      </c>
    </row>
    <row r="180" customFormat="false" ht="15" hidden="false" customHeight="false" outlineLevel="0" collapsed="false">
      <c r="A180" s="4" t="n">
        <v>178</v>
      </c>
      <c r="B180" s="4" t="n">
        <f aca="false">'Encoded Data'!F180</f>
        <v>14.48</v>
      </c>
      <c r="C180" s="4" t="n">
        <f aca="false">'Encoded Data'!E180</f>
        <v>2</v>
      </c>
      <c r="D180" s="4" t="n">
        <f aca="false">'Encoded Data'!A180</f>
        <v>1</v>
      </c>
      <c r="E180" s="4" t="n">
        <f aca="false">'Encoded Data'!B180</f>
        <v>1</v>
      </c>
      <c r="F180" s="4" t="n">
        <f aca="false">'Encoded Data'!C180</f>
        <v>4</v>
      </c>
      <c r="G180" s="4" t="n">
        <f aca="false">'Encoded Data'!D180</f>
        <v>1</v>
      </c>
      <c r="H180" s="10" t="n">
        <f aca="false">'Encoded Data'!G180</f>
        <v>2</v>
      </c>
      <c r="I180" s="10" t="n">
        <f aca="false">0.675081+0.094264*B180+0.174964*C180+-0.036633*D180+-0.072844*E180+0.053005*F180+-0.116006*G180</f>
        <v>2.37648872</v>
      </c>
      <c r="J180" s="10" t="n">
        <f aca="false">H180-I180</f>
        <v>-0.37648872</v>
      </c>
    </row>
    <row r="181" customFormat="false" ht="15" hidden="false" customHeight="false" outlineLevel="0" collapsed="false">
      <c r="A181" s="3" t="n">
        <v>179</v>
      </c>
      <c r="B181" s="3" t="n">
        <f aca="false">'Encoded Data'!F181</f>
        <v>9.6</v>
      </c>
      <c r="C181" s="3" t="n">
        <f aca="false">'Encoded Data'!E181</f>
        <v>2</v>
      </c>
      <c r="D181" s="3" t="n">
        <f aca="false">'Encoded Data'!A181</f>
        <v>0</v>
      </c>
      <c r="E181" s="3" t="n">
        <f aca="false">'Encoded Data'!B181</f>
        <v>1</v>
      </c>
      <c r="F181" s="3" t="n">
        <f aca="false">'Encoded Data'!C181</f>
        <v>4</v>
      </c>
      <c r="G181" s="3" t="n">
        <f aca="false">'Encoded Data'!D181</f>
        <v>1</v>
      </c>
      <c r="H181" s="8" t="n">
        <f aca="false">'Encoded Data'!G181</f>
        <v>4</v>
      </c>
      <c r="I181" s="8" t="n">
        <f aca="false">0.675081+0.094264*B181+0.174964*C181+-0.036633*D181+-0.072844*E181+0.053005*F181+-0.116006*G181</f>
        <v>1.9531134</v>
      </c>
      <c r="J181" s="8" t="n">
        <f aca="false">H181-I181</f>
        <v>2.0468866</v>
      </c>
    </row>
    <row r="182" customFormat="false" ht="15" hidden="false" customHeight="false" outlineLevel="0" collapsed="false">
      <c r="A182" s="4" t="n">
        <v>180</v>
      </c>
      <c r="B182" s="4" t="n">
        <f aca="false">'Encoded Data'!F182</f>
        <v>34.63</v>
      </c>
      <c r="C182" s="4" t="n">
        <f aca="false">'Encoded Data'!E182</f>
        <v>2</v>
      </c>
      <c r="D182" s="4" t="n">
        <f aca="false">'Encoded Data'!A182</f>
        <v>1</v>
      </c>
      <c r="E182" s="4" t="n">
        <f aca="false">'Encoded Data'!B182</f>
        <v>1</v>
      </c>
      <c r="F182" s="4" t="n">
        <f aca="false">'Encoded Data'!C182</f>
        <v>4</v>
      </c>
      <c r="G182" s="4" t="n">
        <f aca="false">'Encoded Data'!D182</f>
        <v>1</v>
      </c>
      <c r="H182" s="10" t="n">
        <f aca="false">'Encoded Data'!G182</f>
        <v>3.55</v>
      </c>
      <c r="I182" s="10" t="n">
        <f aca="false">0.675081+0.094264*B182+0.174964*C182+-0.036633*D182+-0.072844*E182+0.053005*F182+-0.116006*G182</f>
        <v>4.27590832</v>
      </c>
      <c r="J182" s="10" t="n">
        <f aca="false">H182-I182</f>
        <v>-0.72590832</v>
      </c>
    </row>
    <row r="183" customFormat="false" ht="15" hidden="false" customHeight="false" outlineLevel="0" collapsed="false">
      <c r="A183" s="3" t="n">
        <v>181</v>
      </c>
      <c r="B183" s="3" t="n">
        <f aca="false">'Encoded Data'!F183</f>
        <v>34.65</v>
      </c>
      <c r="C183" s="3" t="n">
        <f aca="false">'Encoded Data'!E183</f>
        <v>4</v>
      </c>
      <c r="D183" s="3" t="n">
        <f aca="false">'Encoded Data'!A183</f>
        <v>1</v>
      </c>
      <c r="E183" s="3" t="n">
        <f aca="false">'Encoded Data'!B183</f>
        <v>1</v>
      </c>
      <c r="F183" s="3" t="n">
        <f aca="false">'Encoded Data'!C183</f>
        <v>4</v>
      </c>
      <c r="G183" s="3" t="n">
        <f aca="false">'Encoded Data'!D183</f>
        <v>1</v>
      </c>
      <c r="H183" s="8" t="n">
        <f aca="false">'Encoded Data'!G183</f>
        <v>3.68</v>
      </c>
      <c r="I183" s="8" t="n">
        <f aca="false">0.675081+0.094264*B183+0.174964*C183+-0.036633*D183+-0.072844*E183+0.053005*F183+-0.116006*G183</f>
        <v>4.6277216</v>
      </c>
      <c r="J183" s="8" t="n">
        <f aca="false">H183-I183</f>
        <v>-0.9477216</v>
      </c>
    </row>
    <row r="184" customFormat="false" ht="15" hidden="false" customHeight="false" outlineLevel="0" collapsed="false">
      <c r="A184" s="4" t="n">
        <v>182</v>
      </c>
      <c r="B184" s="4" t="n">
        <f aca="false">'Encoded Data'!F184</f>
        <v>23.33</v>
      </c>
      <c r="C184" s="4" t="n">
        <f aca="false">'Encoded Data'!E184</f>
        <v>2</v>
      </c>
      <c r="D184" s="4" t="n">
        <f aca="false">'Encoded Data'!A184</f>
        <v>1</v>
      </c>
      <c r="E184" s="4" t="n">
        <f aca="false">'Encoded Data'!B184</f>
        <v>1</v>
      </c>
      <c r="F184" s="4" t="n">
        <f aca="false">'Encoded Data'!C184</f>
        <v>4</v>
      </c>
      <c r="G184" s="4" t="n">
        <f aca="false">'Encoded Data'!D184</f>
        <v>1</v>
      </c>
      <c r="H184" s="10" t="n">
        <f aca="false">'Encoded Data'!G184</f>
        <v>5.65</v>
      </c>
      <c r="I184" s="10" t="n">
        <f aca="false">0.675081+0.094264*B184+0.174964*C184+-0.036633*D184+-0.072844*E184+0.053005*F184+-0.116006*G184</f>
        <v>3.21072512</v>
      </c>
      <c r="J184" s="10" t="n">
        <f aca="false">H184-I184</f>
        <v>2.43927488</v>
      </c>
    </row>
    <row r="185" customFormat="false" ht="15" hidden="false" customHeight="false" outlineLevel="0" collapsed="false">
      <c r="A185" s="3" t="n">
        <v>183</v>
      </c>
      <c r="B185" s="3" t="n">
        <f aca="false">'Encoded Data'!F185</f>
        <v>45.35</v>
      </c>
      <c r="C185" s="3" t="n">
        <f aca="false">'Encoded Data'!E185</f>
        <v>3</v>
      </c>
      <c r="D185" s="3" t="n">
        <f aca="false">'Encoded Data'!A185</f>
        <v>1</v>
      </c>
      <c r="E185" s="3" t="n">
        <f aca="false">'Encoded Data'!B185</f>
        <v>1</v>
      </c>
      <c r="F185" s="3" t="n">
        <f aca="false">'Encoded Data'!C185</f>
        <v>4</v>
      </c>
      <c r="G185" s="3" t="n">
        <f aca="false">'Encoded Data'!D185</f>
        <v>1</v>
      </c>
      <c r="H185" s="8" t="n">
        <f aca="false">'Encoded Data'!G185</f>
        <v>3.5</v>
      </c>
      <c r="I185" s="8" t="n">
        <f aca="false">0.675081+0.094264*B185+0.174964*C185+-0.036633*D185+-0.072844*E185+0.053005*F185+-0.116006*G185</f>
        <v>5.4613824</v>
      </c>
      <c r="J185" s="8" t="n">
        <f aca="false">H185-I185</f>
        <v>-1.9613824</v>
      </c>
    </row>
    <row r="186" customFormat="false" ht="15" hidden="false" customHeight="false" outlineLevel="0" collapsed="false">
      <c r="A186" s="4" t="n">
        <v>184</v>
      </c>
      <c r="B186" s="4" t="n">
        <f aca="false">'Encoded Data'!F186</f>
        <v>23.17</v>
      </c>
      <c r="C186" s="4" t="n">
        <f aca="false">'Encoded Data'!E186</f>
        <v>4</v>
      </c>
      <c r="D186" s="4" t="n">
        <f aca="false">'Encoded Data'!A186</f>
        <v>1</v>
      </c>
      <c r="E186" s="4" t="n">
        <f aca="false">'Encoded Data'!B186</f>
        <v>1</v>
      </c>
      <c r="F186" s="4" t="n">
        <f aca="false">'Encoded Data'!C186</f>
        <v>4</v>
      </c>
      <c r="G186" s="4" t="n">
        <f aca="false">'Encoded Data'!D186</f>
        <v>1</v>
      </c>
      <c r="H186" s="10" t="n">
        <f aca="false">'Encoded Data'!G186</f>
        <v>6.5</v>
      </c>
      <c r="I186" s="10" t="n">
        <f aca="false">0.675081+0.094264*B186+0.174964*C186+-0.036633*D186+-0.072844*E186+0.053005*F186+-0.116006*G186</f>
        <v>3.54557088</v>
      </c>
      <c r="J186" s="10" t="n">
        <f aca="false">H186-I186</f>
        <v>2.95442912</v>
      </c>
    </row>
    <row r="187" customFormat="false" ht="15" hidden="false" customHeight="false" outlineLevel="0" collapsed="false">
      <c r="A187" s="3" t="n">
        <v>185</v>
      </c>
      <c r="B187" s="3" t="n">
        <f aca="false">'Encoded Data'!F187</f>
        <v>40.55</v>
      </c>
      <c r="C187" s="3" t="n">
        <f aca="false">'Encoded Data'!E187</f>
        <v>2</v>
      </c>
      <c r="D187" s="3" t="n">
        <f aca="false">'Encoded Data'!A187</f>
        <v>1</v>
      </c>
      <c r="E187" s="3" t="n">
        <f aca="false">'Encoded Data'!B187</f>
        <v>1</v>
      </c>
      <c r="F187" s="3" t="n">
        <f aca="false">'Encoded Data'!C187</f>
        <v>4</v>
      </c>
      <c r="G187" s="3" t="n">
        <f aca="false">'Encoded Data'!D187</f>
        <v>1</v>
      </c>
      <c r="H187" s="8" t="n">
        <f aca="false">'Encoded Data'!G187</f>
        <v>3</v>
      </c>
      <c r="I187" s="8" t="n">
        <f aca="false">0.675081+0.094264*B187+0.174964*C187+-0.036633*D187+-0.072844*E187+0.053005*F187+-0.116006*G187</f>
        <v>4.8339512</v>
      </c>
      <c r="J187" s="8" t="n">
        <f aca="false">H187-I187</f>
        <v>-1.8339512</v>
      </c>
    </row>
    <row r="188" customFormat="false" ht="15" hidden="false" customHeight="false" outlineLevel="0" collapsed="false">
      <c r="A188" s="4" t="n">
        <v>186</v>
      </c>
      <c r="B188" s="4" t="n">
        <f aca="false">'Encoded Data'!F188</f>
        <v>20.69</v>
      </c>
      <c r="C188" s="4" t="n">
        <f aca="false">'Encoded Data'!E188</f>
        <v>5</v>
      </c>
      <c r="D188" s="4" t="n">
        <f aca="false">'Encoded Data'!A188</f>
        <v>1</v>
      </c>
      <c r="E188" s="4" t="n">
        <f aca="false">'Encoded Data'!B188</f>
        <v>0</v>
      </c>
      <c r="F188" s="4" t="n">
        <f aca="false">'Encoded Data'!C188</f>
        <v>4</v>
      </c>
      <c r="G188" s="4" t="n">
        <f aca="false">'Encoded Data'!D188</f>
        <v>1</v>
      </c>
      <c r="H188" s="10" t="n">
        <f aca="false">'Encoded Data'!G188</f>
        <v>5</v>
      </c>
      <c r="I188" s="10" t="n">
        <f aca="false">0.675081+0.094264*B188+0.174964*C188+-0.036633*D188+-0.072844*E188+0.053005*F188+-0.116006*G188</f>
        <v>3.55960416</v>
      </c>
      <c r="J188" s="10" t="n">
        <f aca="false">H188-I188</f>
        <v>1.44039584</v>
      </c>
    </row>
    <row r="189" customFormat="false" ht="15" hidden="false" customHeight="false" outlineLevel="0" collapsed="false">
      <c r="A189" s="3" t="n">
        <v>187</v>
      </c>
      <c r="B189" s="3" t="n">
        <f aca="false">'Encoded Data'!F189</f>
        <v>20.9</v>
      </c>
      <c r="C189" s="3" t="n">
        <f aca="false">'Encoded Data'!E189</f>
        <v>3</v>
      </c>
      <c r="D189" s="3" t="n">
        <f aca="false">'Encoded Data'!A189</f>
        <v>0</v>
      </c>
      <c r="E189" s="3" t="n">
        <f aca="false">'Encoded Data'!B189</f>
        <v>1</v>
      </c>
      <c r="F189" s="3" t="n">
        <f aca="false">'Encoded Data'!C189</f>
        <v>4</v>
      </c>
      <c r="G189" s="3" t="n">
        <f aca="false">'Encoded Data'!D189</f>
        <v>1</v>
      </c>
      <c r="H189" s="8" t="n">
        <f aca="false">'Encoded Data'!G189</f>
        <v>3.5</v>
      </c>
      <c r="I189" s="8" t="n">
        <f aca="false">0.675081+0.094264*B189+0.174964*C189+-0.036633*D189+-0.072844*E189+0.053005*F189+-0.116006*G189</f>
        <v>3.1932606</v>
      </c>
      <c r="J189" s="8" t="n">
        <f aca="false">H189-I189</f>
        <v>0.306739400000001</v>
      </c>
    </row>
    <row r="190" customFormat="false" ht="15" hidden="false" customHeight="false" outlineLevel="0" collapsed="false">
      <c r="A190" s="4" t="n">
        <v>188</v>
      </c>
      <c r="B190" s="4" t="n">
        <f aca="false">'Encoded Data'!F190</f>
        <v>30.46</v>
      </c>
      <c r="C190" s="4" t="n">
        <f aca="false">'Encoded Data'!E190</f>
        <v>5</v>
      </c>
      <c r="D190" s="4" t="n">
        <f aca="false">'Encoded Data'!A190</f>
        <v>1</v>
      </c>
      <c r="E190" s="4" t="n">
        <f aca="false">'Encoded Data'!B190</f>
        <v>1</v>
      </c>
      <c r="F190" s="4" t="n">
        <f aca="false">'Encoded Data'!C190</f>
        <v>4</v>
      </c>
      <c r="G190" s="4" t="n">
        <f aca="false">'Encoded Data'!D190</f>
        <v>1</v>
      </c>
      <c r="H190" s="10" t="n">
        <f aca="false">'Encoded Data'!G190</f>
        <v>2</v>
      </c>
      <c r="I190" s="10" t="n">
        <f aca="false">0.675081+0.094264*B190+0.174964*C190+-0.036633*D190+-0.072844*E190+0.053005*F190+-0.116006*G190</f>
        <v>4.40771944</v>
      </c>
      <c r="J190" s="10" t="n">
        <f aca="false">H190-I190</f>
        <v>-2.40771944</v>
      </c>
    </row>
    <row r="191" customFormat="false" ht="15" hidden="false" customHeight="false" outlineLevel="0" collapsed="false">
      <c r="A191" s="3" t="n">
        <v>189</v>
      </c>
      <c r="B191" s="3" t="n">
        <f aca="false">'Encoded Data'!F191</f>
        <v>18.15</v>
      </c>
      <c r="C191" s="3" t="n">
        <f aca="false">'Encoded Data'!E191</f>
        <v>3</v>
      </c>
      <c r="D191" s="3" t="n">
        <f aca="false">'Encoded Data'!A191</f>
        <v>0</v>
      </c>
      <c r="E191" s="3" t="n">
        <f aca="false">'Encoded Data'!B191</f>
        <v>1</v>
      </c>
      <c r="F191" s="3" t="n">
        <f aca="false">'Encoded Data'!C191</f>
        <v>4</v>
      </c>
      <c r="G191" s="3" t="n">
        <f aca="false">'Encoded Data'!D191</f>
        <v>1</v>
      </c>
      <c r="H191" s="8" t="n">
        <f aca="false">'Encoded Data'!G191</f>
        <v>3.5</v>
      </c>
      <c r="I191" s="8" t="n">
        <f aca="false">0.675081+0.094264*B191+0.174964*C191+-0.036633*D191+-0.072844*E191+0.053005*F191+-0.116006*G191</f>
        <v>2.9340346</v>
      </c>
      <c r="J191" s="8" t="n">
        <f aca="false">H191-I191</f>
        <v>0.565965400000001</v>
      </c>
    </row>
    <row r="192" customFormat="false" ht="15" hidden="false" customHeight="false" outlineLevel="0" collapsed="false">
      <c r="A192" s="4" t="n">
        <v>190</v>
      </c>
      <c r="B192" s="4" t="n">
        <f aca="false">'Encoded Data'!F192</f>
        <v>23.1</v>
      </c>
      <c r="C192" s="4" t="n">
        <f aca="false">'Encoded Data'!E192</f>
        <v>3</v>
      </c>
      <c r="D192" s="4" t="n">
        <f aca="false">'Encoded Data'!A192</f>
        <v>1</v>
      </c>
      <c r="E192" s="4" t="n">
        <f aca="false">'Encoded Data'!B192</f>
        <v>1</v>
      </c>
      <c r="F192" s="4" t="n">
        <f aca="false">'Encoded Data'!C192</f>
        <v>4</v>
      </c>
      <c r="G192" s="4" t="n">
        <f aca="false">'Encoded Data'!D192</f>
        <v>1</v>
      </c>
      <c r="H192" s="10" t="n">
        <f aca="false">'Encoded Data'!G192</f>
        <v>4</v>
      </c>
      <c r="I192" s="10" t="n">
        <f aca="false">0.675081+0.094264*B192+0.174964*C192+-0.036633*D192+-0.072844*E192+0.053005*F192+-0.116006*G192</f>
        <v>3.3640084</v>
      </c>
      <c r="J192" s="10" t="n">
        <f aca="false">H192-I192</f>
        <v>0.6359916</v>
      </c>
    </row>
    <row r="193" customFormat="false" ht="15" hidden="false" customHeight="false" outlineLevel="0" collapsed="false">
      <c r="A193" s="3" t="n">
        <v>191</v>
      </c>
      <c r="B193" s="3" t="n">
        <f aca="false">'Encoded Data'!F193</f>
        <v>15.69</v>
      </c>
      <c r="C193" s="3" t="n">
        <f aca="false">'Encoded Data'!E193</f>
        <v>2</v>
      </c>
      <c r="D193" s="3" t="n">
        <f aca="false">'Encoded Data'!A193</f>
        <v>1</v>
      </c>
      <c r="E193" s="3" t="n">
        <f aca="false">'Encoded Data'!B193</f>
        <v>1</v>
      </c>
      <c r="F193" s="3" t="n">
        <f aca="false">'Encoded Data'!C193</f>
        <v>4</v>
      </c>
      <c r="G193" s="3" t="n">
        <f aca="false">'Encoded Data'!D193</f>
        <v>1</v>
      </c>
      <c r="H193" s="8" t="n">
        <f aca="false">'Encoded Data'!G193</f>
        <v>1.5</v>
      </c>
      <c r="I193" s="8" t="n">
        <f aca="false">0.675081+0.094264*B193+0.174964*C193+-0.036633*D193+-0.072844*E193+0.053005*F193+-0.116006*G193</f>
        <v>2.49054816</v>
      </c>
      <c r="J193" s="8" t="n">
        <f aca="false">H193-I193</f>
        <v>-0.99054816</v>
      </c>
    </row>
    <row r="194" customFormat="false" ht="15" hidden="false" customHeight="false" outlineLevel="0" collapsed="false">
      <c r="A194" s="4" t="n">
        <v>192</v>
      </c>
      <c r="B194" s="4" t="n">
        <f aca="false">'Encoded Data'!F194</f>
        <v>19.81</v>
      </c>
      <c r="C194" s="4" t="n">
        <f aca="false">'Encoded Data'!E194</f>
        <v>2</v>
      </c>
      <c r="D194" s="4" t="n">
        <f aca="false">'Encoded Data'!A194</f>
        <v>0</v>
      </c>
      <c r="E194" s="4" t="n">
        <f aca="false">'Encoded Data'!B194</f>
        <v>1</v>
      </c>
      <c r="F194" s="4" t="n">
        <f aca="false">'Encoded Data'!C194</f>
        <v>1</v>
      </c>
      <c r="G194" s="4" t="n">
        <f aca="false">'Encoded Data'!D194</f>
        <v>0</v>
      </c>
      <c r="H194" s="10" t="n">
        <f aca="false">'Encoded Data'!G194</f>
        <v>4.19</v>
      </c>
      <c r="I194" s="10" t="n">
        <f aca="false">0.675081+0.094264*B194+0.174964*C194+-0.036633*D194+-0.072844*E194+0.053005*F194+-0.116006*G194</f>
        <v>2.87253984</v>
      </c>
      <c r="J194" s="10" t="n">
        <f aca="false">H194-I194</f>
        <v>1.31746016</v>
      </c>
    </row>
    <row r="195" customFormat="false" ht="15" hidden="false" customHeight="false" outlineLevel="0" collapsed="false">
      <c r="A195" s="3" t="n">
        <v>193</v>
      </c>
      <c r="B195" s="3" t="n">
        <f aca="false">'Encoded Data'!F195</f>
        <v>28.44</v>
      </c>
      <c r="C195" s="3" t="n">
        <f aca="false">'Encoded Data'!E195</f>
        <v>2</v>
      </c>
      <c r="D195" s="3" t="n">
        <f aca="false">'Encoded Data'!A195</f>
        <v>1</v>
      </c>
      <c r="E195" s="3" t="n">
        <f aca="false">'Encoded Data'!B195</f>
        <v>1</v>
      </c>
      <c r="F195" s="3" t="n">
        <f aca="false">'Encoded Data'!C195</f>
        <v>1</v>
      </c>
      <c r="G195" s="3" t="n">
        <f aca="false">'Encoded Data'!D195</f>
        <v>0</v>
      </c>
      <c r="H195" s="8" t="n">
        <f aca="false">'Encoded Data'!G195</f>
        <v>2.56</v>
      </c>
      <c r="I195" s="8" t="n">
        <f aca="false">0.675081+0.094264*B195+0.174964*C195+-0.036633*D195+-0.072844*E195+0.053005*F195+-0.116006*G195</f>
        <v>3.64940516</v>
      </c>
      <c r="J195" s="8" t="n">
        <f aca="false">H195-I195</f>
        <v>-1.08940516</v>
      </c>
    </row>
    <row r="196" customFormat="false" ht="15" hidden="false" customHeight="false" outlineLevel="0" collapsed="false">
      <c r="A196" s="4" t="n">
        <v>194</v>
      </c>
      <c r="B196" s="4" t="n">
        <f aca="false">'Encoded Data'!F196</f>
        <v>15.48</v>
      </c>
      <c r="C196" s="4" t="n">
        <f aca="false">'Encoded Data'!E196</f>
        <v>2</v>
      </c>
      <c r="D196" s="4" t="n">
        <f aca="false">'Encoded Data'!A196</f>
        <v>1</v>
      </c>
      <c r="E196" s="4" t="n">
        <f aca="false">'Encoded Data'!B196</f>
        <v>1</v>
      </c>
      <c r="F196" s="4" t="n">
        <f aca="false">'Encoded Data'!C196</f>
        <v>1</v>
      </c>
      <c r="G196" s="4" t="n">
        <f aca="false">'Encoded Data'!D196</f>
        <v>0</v>
      </c>
      <c r="H196" s="10" t="n">
        <f aca="false">'Encoded Data'!G196</f>
        <v>2.02</v>
      </c>
      <c r="I196" s="10" t="n">
        <f aca="false">0.675081+0.094264*B196+0.174964*C196+-0.036633*D196+-0.072844*E196+0.053005*F196+-0.116006*G196</f>
        <v>2.42774372</v>
      </c>
      <c r="J196" s="10" t="n">
        <f aca="false">H196-I196</f>
        <v>-0.40774372</v>
      </c>
    </row>
    <row r="197" customFormat="false" ht="15" hidden="false" customHeight="false" outlineLevel="0" collapsed="false">
      <c r="A197" s="3" t="n">
        <v>195</v>
      </c>
      <c r="B197" s="3" t="n">
        <f aca="false">'Encoded Data'!F197</f>
        <v>16.58</v>
      </c>
      <c r="C197" s="3" t="n">
        <f aca="false">'Encoded Data'!E197</f>
        <v>2</v>
      </c>
      <c r="D197" s="3" t="n">
        <f aca="false">'Encoded Data'!A197</f>
        <v>1</v>
      </c>
      <c r="E197" s="3" t="n">
        <f aca="false">'Encoded Data'!B197</f>
        <v>1</v>
      </c>
      <c r="F197" s="3" t="n">
        <f aca="false">'Encoded Data'!C197</f>
        <v>1</v>
      </c>
      <c r="G197" s="3" t="n">
        <f aca="false">'Encoded Data'!D197</f>
        <v>0</v>
      </c>
      <c r="H197" s="8" t="n">
        <f aca="false">'Encoded Data'!G197</f>
        <v>4</v>
      </c>
      <c r="I197" s="8" t="n">
        <f aca="false">0.675081+0.094264*B197+0.174964*C197+-0.036633*D197+-0.072844*E197+0.053005*F197+-0.116006*G197</f>
        <v>2.53143412</v>
      </c>
      <c r="J197" s="8" t="n">
        <f aca="false">H197-I197</f>
        <v>1.46856588</v>
      </c>
    </row>
    <row r="198" customFormat="false" ht="15" hidden="false" customHeight="false" outlineLevel="0" collapsed="false">
      <c r="A198" s="4" t="n">
        <v>196</v>
      </c>
      <c r="B198" s="4" t="n">
        <f aca="false">'Encoded Data'!F198</f>
        <v>7.56</v>
      </c>
      <c r="C198" s="4" t="n">
        <f aca="false">'Encoded Data'!E198</f>
        <v>2</v>
      </c>
      <c r="D198" s="4" t="n">
        <f aca="false">'Encoded Data'!A198</f>
        <v>1</v>
      </c>
      <c r="E198" s="4" t="n">
        <f aca="false">'Encoded Data'!B198</f>
        <v>0</v>
      </c>
      <c r="F198" s="4" t="n">
        <f aca="false">'Encoded Data'!C198</f>
        <v>1</v>
      </c>
      <c r="G198" s="4" t="n">
        <f aca="false">'Encoded Data'!D198</f>
        <v>0</v>
      </c>
      <c r="H198" s="10" t="n">
        <f aca="false">'Encoded Data'!G198</f>
        <v>1.44</v>
      </c>
      <c r="I198" s="10" t="n">
        <f aca="false">0.675081+0.094264*B198+0.174964*C198+-0.036633*D198+-0.072844*E198+0.053005*F198+-0.116006*G198</f>
        <v>1.75401684</v>
      </c>
      <c r="J198" s="10" t="n">
        <f aca="false">H198-I198</f>
        <v>-0.31401684</v>
      </c>
    </row>
    <row r="199" customFormat="false" ht="15" hidden="false" customHeight="false" outlineLevel="0" collapsed="false">
      <c r="A199" s="3" t="n">
        <v>197</v>
      </c>
      <c r="B199" s="3" t="n">
        <f aca="false">'Encoded Data'!F199</f>
        <v>10.34</v>
      </c>
      <c r="C199" s="3" t="n">
        <f aca="false">'Encoded Data'!E199</f>
        <v>2</v>
      </c>
      <c r="D199" s="3" t="n">
        <f aca="false">'Encoded Data'!A199</f>
        <v>1</v>
      </c>
      <c r="E199" s="3" t="n">
        <f aca="false">'Encoded Data'!B199</f>
        <v>1</v>
      </c>
      <c r="F199" s="3" t="n">
        <f aca="false">'Encoded Data'!C199</f>
        <v>1</v>
      </c>
      <c r="G199" s="3" t="n">
        <f aca="false">'Encoded Data'!D199</f>
        <v>0</v>
      </c>
      <c r="H199" s="8" t="n">
        <f aca="false">'Encoded Data'!G199</f>
        <v>2</v>
      </c>
      <c r="I199" s="8" t="n">
        <f aca="false">0.675081+0.094264*B199+0.174964*C199+-0.036633*D199+-0.072844*E199+0.053005*F199+-0.116006*G199</f>
        <v>1.94322676</v>
      </c>
      <c r="J199" s="8" t="n">
        <f aca="false">H199-I199</f>
        <v>0.0567732399999998</v>
      </c>
    </row>
    <row r="200" customFormat="false" ht="15" hidden="false" customHeight="false" outlineLevel="0" collapsed="false">
      <c r="A200" s="4" t="n">
        <v>198</v>
      </c>
      <c r="B200" s="4" t="n">
        <f aca="false">'Encoded Data'!F200</f>
        <v>43.11</v>
      </c>
      <c r="C200" s="4" t="n">
        <f aca="false">'Encoded Data'!E200</f>
        <v>4</v>
      </c>
      <c r="D200" s="4" t="n">
        <f aca="false">'Encoded Data'!A200</f>
        <v>0</v>
      </c>
      <c r="E200" s="4" t="n">
        <f aca="false">'Encoded Data'!B200</f>
        <v>1</v>
      </c>
      <c r="F200" s="4" t="n">
        <f aca="false">'Encoded Data'!C200</f>
        <v>1</v>
      </c>
      <c r="G200" s="4" t="n">
        <f aca="false">'Encoded Data'!D200</f>
        <v>0</v>
      </c>
      <c r="H200" s="10" t="n">
        <f aca="false">'Encoded Data'!G200</f>
        <v>5</v>
      </c>
      <c r="I200" s="10" t="n">
        <f aca="false">0.675081+0.094264*B200+0.174964*C200+-0.036633*D200+-0.072844*E200+0.053005*F200+-0.116006*G200</f>
        <v>5.41881904</v>
      </c>
      <c r="J200" s="10" t="n">
        <f aca="false">H200-I200</f>
        <v>-0.41881904</v>
      </c>
    </row>
    <row r="201" customFormat="false" ht="15" hidden="false" customHeight="false" outlineLevel="0" collapsed="false">
      <c r="A201" s="3" t="n">
        <v>199</v>
      </c>
      <c r="B201" s="3" t="n">
        <f aca="false">'Encoded Data'!F201</f>
        <v>13</v>
      </c>
      <c r="C201" s="3" t="n">
        <f aca="false">'Encoded Data'!E201</f>
        <v>2</v>
      </c>
      <c r="D201" s="3" t="n">
        <f aca="false">'Encoded Data'!A201</f>
        <v>0</v>
      </c>
      <c r="E201" s="3" t="n">
        <f aca="false">'Encoded Data'!B201</f>
        <v>1</v>
      </c>
      <c r="F201" s="3" t="n">
        <f aca="false">'Encoded Data'!C201</f>
        <v>1</v>
      </c>
      <c r="G201" s="3" t="n">
        <f aca="false">'Encoded Data'!D201</f>
        <v>0</v>
      </c>
      <c r="H201" s="8" t="n">
        <f aca="false">'Encoded Data'!G201</f>
        <v>2</v>
      </c>
      <c r="I201" s="8" t="n">
        <f aca="false">0.675081+0.094264*B201+0.174964*C201+-0.036633*D201+-0.072844*E201+0.053005*F201+-0.116006*G201</f>
        <v>2.230602</v>
      </c>
      <c r="J201" s="8" t="n">
        <f aca="false">H201-I201</f>
        <v>-0.230602000000001</v>
      </c>
    </row>
    <row r="202" customFormat="false" ht="15" hidden="false" customHeight="false" outlineLevel="0" collapsed="false">
      <c r="A202" s="4" t="n">
        <v>200</v>
      </c>
      <c r="B202" s="4" t="n">
        <f aca="false">'Encoded Data'!F202</f>
        <v>13.51</v>
      </c>
      <c r="C202" s="4" t="n">
        <f aca="false">'Encoded Data'!E202</f>
        <v>2</v>
      </c>
      <c r="D202" s="4" t="n">
        <f aca="false">'Encoded Data'!A202</f>
        <v>1</v>
      </c>
      <c r="E202" s="4" t="n">
        <f aca="false">'Encoded Data'!B202</f>
        <v>1</v>
      </c>
      <c r="F202" s="4" t="n">
        <f aca="false">'Encoded Data'!C202</f>
        <v>1</v>
      </c>
      <c r="G202" s="4" t="n">
        <f aca="false">'Encoded Data'!D202</f>
        <v>0</v>
      </c>
      <c r="H202" s="10" t="n">
        <f aca="false">'Encoded Data'!G202</f>
        <v>2</v>
      </c>
      <c r="I202" s="10" t="n">
        <f aca="false">0.675081+0.094264*B202+0.174964*C202+-0.036633*D202+-0.072844*E202+0.053005*F202+-0.116006*G202</f>
        <v>2.24204364</v>
      </c>
      <c r="J202" s="10" t="n">
        <f aca="false">H202-I202</f>
        <v>-0.24204364</v>
      </c>
    </row>
    <row r="203" customFormat="false" ht="15" hidden="false" customHeight="false" outlineLevel="0" collapsed="false">
      <c r="A203" s="3" t="n">
        <v>201</v>
      </c>
      <c r="B203" s="3" t="n">
        <f aca="false">'Encoded Data'!F203</f>
        <v>18.71</v>
      </c>
      <c r="C203" s="3" t="n">
        <f aca="false">'Encoded Data'!E203</f>
        <v>3</v>
      </c>
      <c r="D203" s="3" t="n">
        <f aca="false">'Encoded Data'!A203</f>
        <v>1</v>
      </c>
      <c r="E203" s="3" t="n">
        <f aca="false">'Encoded Data'!B203</f>
        <v>1</v>
      </c>
      <c r="F203" s="3" t="n">
        <f aca="false">'Encoded Data'!C203</f>
        <v>1</v>
      </c>
      <c r="G203" s="3" t="n">
        <f aca="false">'Encoded Data'!D203</f>
        <v>0</v>
      </c>
      <c r="H203" s="8" t="n">
        <f aca="false">'Encoded Data'!G203</f>
        <v>4</v>
      </c>
      <c r="I203" s="8" t="n">
        <f aca="false">0.675081+0.094264*B203+0.174964*C203+-0.036633*D203+-0.072844*E203+0.053005*F203+-0.116006*G203</f>
        <v>2.90718044</v>
      </c>
      <c r="J203" s="8" t="n">
        <f aca="false">H203-I203</f>
        <v>1.09281956</v>
      </c>
    </row>
    <row r="204" customFormat="false" ht="15" hidden="false" customHeight="false" outlineLevel="0" collapsed="false">
      <c r="A204" s="4" t="n">
        <v>202</v>
      </c>
      <c r="B204" s="4" t="n">
        <f aca="false">'Encoded Data'!F204</f>
        <v>12.74</v>
      </c>
      <c r="C204" s="4" t="n">
        <f aca="false">'Encoded Data'!E204</f>
        <v>2</v>
      </c>
      <c r="D204" s="4" t="n">
        <f aca="false">'Encoded Data'!A204</f>
        <v>0</v>
      </c>
      <c r="E204" s="4" t="n">
        <f aca="false">'Encoded Data'!B204</f>
        <v>1</v>
      </c>
      <c r="F204" s="4" t="n">
        <f aca="false">'Encoded Data'!C204</f>
        <v>1</v>
      </c>
      <c r="G204" s="4" t="n">
        <f aca="false">'Encoded Data'!D204</f>
        <v>0</v>
      </c>
      <c r="H204" s="10" t="n">
        <f aca="false">'Encoded Data'!G204</f>
        <v>2.01</v>
      </c>
      <c r="I204" s="10" t="n">
        <f aca="false">0.675081+0.094264*B204+0.174964*C204+-0.036633*D204+-0.072844*E204+0.053005*F204+-0.116006*G204</f>
        <v>2.20609336</v>
      </c>
      <c r="J204" s="10" t="n">
        <f aca="false">H204-I204</f>
        <v>-0.19609336</v>
      </c>
    </row>
    <row r="205" customFormat="false" ht="15" hidden="false" customHeight="false" outlineLevel="0" collapsed="false">
      <c r="A205" s="3" t="n">
        <v>203</v>
      </c>
      <c r="B205" s="3" t="n">
        <f aca="false">'Encoded Data'!F205</f>
        <v>16.4</v>
      </c>
      <c r="C205" s="3" t="n">
        <f aca="false">'Encoded Data'!E205</f>
        <v>2</v>
      </c>
      <c r="D205" s="3" t="n">
        <f aca="false">'Encoded Data'!A205</f>
        <v>0</v>
      </c>
      <c r="E205" s="3" t="n">
        <f aca="false">'Encoded Data'!B205</f>
        <v>1</v>
      </c>
      <c r="F205" s="3" t="n">
        <f aca="false">'Encoded Data'!C205</f>
        <v>1</v>
      </c>
      <c r="G205" s="3" t="n">
        <f aca="false">'Encoded Data'!D205</f>
        <v>0</v>
      </c>
      <c r="H205" s="8" t="n">
        <f aca="false">'Encoded Data'!G205</f>
        <v>2.5</v>
      </c>
      <c r="I205" s="8" t="n">
        <f aca="false">0.675081+0.094264*B205+0.174964*C205+-0.036633*D205+-0.072844*E205+0.053005*F205+-0.116006*G205</f>
        <v>2.5510996</v>
      </c>
      <c r="J205" s="8" t="n">
        <f aca="false">H205-I205</f>
        <v>-0.0510996000000001</v>
      </c>
    </row>
    <row r="206" customFormat="false" ht="15" hidden="false" customHeight="false" outlineLevel="0" collapsed="false">
      <c r="A206" s="4" t="n">
        <v>204</v>
      </c>
      <c r="B206" s="4" t="n">
        <f aca="false">'Encoded Data'!F206</f>
        <v>20.53</v>
      </c>
      <c r="C206" s="4" t="n">
        <f aca="false">'Encoded Data'!E206</f>
        <v>4</v>
      </c>
      <c r="D206" s="4" t="n">
        <f aca="false">'Encoded Data'!A206</f>
        <v>1</v>
      </c>
      <c r="E206" s="4" t="n">
        <f aca="false">'Encoded Data'!B206</f>
        <v>1</v>
      </c>
      <c r="F206" s="4" t="n">
        <f aca="false">'Encoded Data'!C206</f>
        <v>1</v>
      </c>
      <c r="G206" s="4" t="n">
        <f aca="false">'Encoded Data'!D206</f>
        <v>0</v>
      </c>
      <c r="H206" s="10" t="n">
        <f aca="false">'Encoded Data'!G206</f>
        <v>4</v>
      </c>
      <c r="I206" s="10" t="n">
        <f aca="false">0.675081+0.094264*B206+0.174964*C206+-0.036633*D206+-0.072844*E206+0.053005*F206+-0.116006*G206</f>
        <v>3.25370492</v>
      </c>
      <c r="J206" s="10" t="n">
        <f aca="false">H206-I206</f>
        <v>0.746295079999999</v>
      </c>
    </row>
    <row r="207" customFormat="false" ht="15" hidden="false" customHeight="false" outlineLevel="0" collapsed="false">
      <c r="A207" s="3" t="n">
        <v>205</v>
      </c>
      <c r="B207" s="3" t="n">
        <f aca="false">'Encoded Data'!F207</f>
        <v>16.47</v>
      </c>
      <c r="C207" s="3" t="n">
        <f aca="false">'Encoded Data'!E207</f>
        <v>3</v>
      </c>
      <c r="D207" s="3" t="n">
        <f aca="false">'Encoded Data'!A207</f>
        <v>0</v>
      </c>
      <c r="E207" s="3" t="n">
        <f aca="false">'Encoded Data'!B207</f>
        <v>1</v>
      </c>
      <c r="F207" s="3" t="n">
        <f aca="false">'Encoded Data'!C207</f>
        <v>1</v>
      </c>
      <c r="G207" s="3" t="n">
        <f aca="false">'Encoded Data'!D207</f>
        <v>0</v>
      </c>
      <c r="H207" s="8" t="n">
        <f aca="false">'Encoded Data'!G207</f>
        <v>3.23</v>
      </c>
      <c r="I207" s="8" t="n">
        <f aca="false">0.675081+0.094264*B207+0.174964*C207+-0.036633*D207+-0.072844*E207+0.053005*F207+-0.116006*G207</f>
        <v>2.73266208</v>
      </c>
      <c r="J207" s="8" t="n">
        <f aca="false">H207-I207</f>
        <v>0.49733792</v>
      </c>
    </row>
    <row r="208" customFormat="false" ht="15" hidden="false" customHeight="false" outlineLevel="0" collapsed="false">
      <c r="A208" s="4" t="n">
        <v>206</v>
      </c>
      <c r="B208" s="4" t="n">
        <f aca="false">'Encoded Data'!F208</f>
        <v>26.59</v>
      </c>
      <c r="C208" s="4" t="n">
        <f aca="false">'Encoded Data'!E208</f>
        <v>3</v>
      </c>
      <c r="D208" s="4" t="n">
        <f aca="false">'Encoded Data'!A208</f>
        <v>1</v>
      </c>
      <c r="E208" s="4" t="n">
        <f aca="false">'Encoded Data'!B208</f>
        <v>1</v>
      </c>
      <c r="F208" s="4" t="n">
        <f aca="false">'Encoded Data'!C208</f>
        <v>3</v>
      </c>
      <c r="G208" s="4" t="n">
        <f aca="false">'Encoded Data'!D208</f>
        <v>1</v>
      </c>
      <c r="H208" s="10" t="n">
        <f aca="false">'Encoded Data'!G208</f>
        <v>3.41</v>
      </c>
      <c r="I208" s="10" t="n">
        <f aca="false">0.675081+0.094264*B208+0.174964*C208+-0.036633*D208+-0.072844*E208+0.053005*F208+-0.116006*G208</f>
        <v>3.63998476</v>
      </c>
      <c r="J208" s="10" t="n">
        <f aca="false">H208-I208</f>
        <v>-0.22998476</v>
      </c>
    </row>
    <row r="209" customFormat="false" ht="15" hidden="false" customHeight="false" outlineLevel="0" collapsed="false">
      <c r="A209" s="3" t="n">
        <v>207</v>
      </c>
      <c r="B209" s="3" t="n">
        <f aca="false">'Encoded Data'!F209</f>
        <v>38.73</v>
      </c>
      <c r="C209" s="3" t="n">
        <f aca="false">'Encoded Data'!E209</f>
        <v>4</v>
      </c>
      <c r="D209" s="3" t="n">
        <f aca="false">'Encoded Data'!A209</f>
        <v>1</v>
      </c>
      <c r="E209" s="3" t="n">
        <f aca="false">'Encoded Data'!B209</f>
        <v>1</v>
      </c>
      <c r="F209" s="3" t="n">
        <f aca="false">'Encoded Data'!C209</f>
        <v>3</v>
      </c>
      <c r="G209" s="3" t="n">
        <f aca="false">'Encoded Data'!D209</f>
        <v>1</v>
      </c>
      <c r="H209" s="8" t="n">
        <f aca="false">'Encoded Data'!G209</f>
        <v>3</v>
      </c>
      <c r="I209" s="8" t="n">
        <f aca="false">0.675081+0.094264*B209+0.174964*C209+-0.036633*D209+-0.072844*E209+0.053005*F209+-0.116006*G209</f>
        <v>4.95931372</v>
      </c>
      <c r="J209" s="8" t="n">
        <f aca="false">H209-I209</f>
        <v>-1.95931372</v>
      </c>
    </row>
    <row r="210" customFormat="false" ht="15" hidden="false" customHeight="false" outlineLevel="0" collapsed="false">
      <c r="A210" s="4" t="n">
        <v>208</v>
      </c>
      <c r="B210" s="4" t="n">
        <f aca="false">'Encoded Data'!F210</f>
        <v>24.27</v>
      </c>
      <c r="C210" s="4" t="n">
        <f aca="false">'Encoded Data'!E210</f>
        <v>2</v>
      </c>
      <c r="D210" s="4" t="n">
        <f aca="false">'Encoded Data'!A210</f>
        <v>1</v>
      </c>
      <c r="E210" s="4" t="n">
        <f aca="false">'Encoded Data'!B210</f>
        <v>1</v>
      </c>
      <c r="F210" s="4" t="n">
        <f aca="false">'Encoded Data'!C210</f>
        <v>3</v>
      </c>
      <c r="G210" s="4" t="n">
        <f aca="false">'Encoded Data'!D210</f>
        <v>1</v>
      </c>
      <c r="H210" s="10" t="n">
        <f aca="false">'Encoded Data'!G210</f>
        <v>2.03</v>
      </c>
      <c r="I210" s="10" t="n">
        <f aca="false">0.675081+0.094264*B210+0.174964*C210+-0.036633*D210+-0.072844*E210+0.053005*F210+-0.116006*G210</f>
        <v>3.24632828</v>
      </c>
      <c r="J210" s="10" t="n">
        <f aca="false">H210-I210</f>
        <v>-1.21632828</v>
      </c>
    </row>
    <row r="211" customFormat="false" ht="15" hidden="false" customHeight="false" outlineLevel="0" collapsed="false">
      <c r="A211" s="3" t="n">
        <v>209</v>
      </c>
      <c r="B211" s="3" t="n">
        <f aca="false">'Encoded Data'!F211</f>
        <v>12.76</v>
      </c>
      <c r="C211" s="3" t="n">
        <f aca="false">'Encoded Data'!E211</f>
        <v>2</v>
      </c>
      <c r="D211" s="3" t="n">
        <f aca="false">'Encoded Data'!A211</f>
        <v>0</v>
      </c>
      <c r="E211" s="3" t="n">
        <f aca="false">'Encoded Data'!B211</f>
        <v>1</v>
      </c>
      <c r="F211" s="3" t="n">
        <f aca="false">'Encoded Data'!C211</f>
        <v>3</v>
      </c>
      <c r="G211" s="3" t="n">
        <f aca="false">'Encoded Data'!D211</f>
        <v>1</v>
      </c>
      <c r="H211" s="8" t="n">
        <f aca="false">'Encoded Data'!G211</f>
        <v>2.23</v>
      </c>
      <c r="I211" s="8" t="n">
        <f aca="false">0.675081+0.094264*B211+0.174964*C211+-0.036633*D211+-0.072844*E211+0.053005*F211+-0.116006*G211</f>
        <v>2.19798264</v>
      </c>
      <c r="J211" s="8" t="n">
        <f aca="false">H211-I211</f>
        <v>0.0320173599999998</v>
      </c>
    </row>
    <row r="212" customFormat="false" ht="15" hidden="false" customHeight="false" outlineLevel="0" collapsed="false">
      <c r="A212" s="4" t="n">
        <v>210</v>
      </c>
      <c r="B212" s="4" t="n">
        <f aca="false">'Encoded Data'!F212</f>
        <v>30.06</v>
      </c>
      <c r="C212" s="4" t="n">
        <f aca="false">'Encoded Data'!E212</f>
        <v>3</v>
      </c>
      <c r="D212" s="4" t="n">
        <f aca="false">'Encoded Data'!A212</f>
        <v>1</v>
      </c>
      <c r="E212" s="4" t="n">
        <f aca="false">'Encoded Data'!B212</f>
        <v>1</v>
      </c>
      <c r="F212" s="4" t="n">
        <f aca="false">'Encoded Data'!C212</f>
        <v>3</v>
      </c>
      <c r="G212" s="4" t="n">
        <f aca="false">'Encoded Data'!D212</f>
        <v>1</v>
      </c>
      <c r="H212" s="10" t="n">
        <f aca="false">'Encoded Data'!G212</f>
        <v>2</v>
      </c>
      <c r="I212" s="10" t="n">
        <f aca="false">0.675081+0.094264*B212+0.174964*C212+-0.036633*D212+-0.072844*E212+0.053005*F212+-0.116006*G212</f>
        <v>3.96708084</v>
      </c>
      <c r="J212" s="10" t="n">
        <f aca="false">H212-I212</f>
        <v>-1.96708084</v>
      </c>
    </row>
    <row r="213" customFormat="false" ht="15" hidden="false" customHeight="false" outlineLevel="0" collapsed="false">
      <c r="A213" s="3" t="n">
        <v>211</v>
      </c>
      <c r="B213" s="3" t="n">
        <f aca="false">'Encoded Data'!F213</f>
        <v>25.89</v>
      </c>
      <c r="C213" s="3" t="n">
        <f aca="false">'Encoded Data'!E213</f>
        <v>4</v>
      </c>
      <c r="D213" s="3" t="n">
        <f aca="false">'Encoded Data'!A213</f>
        <v>1</v>
      </c>
      <c r="E213" s="3" t="n">
        <f aca="false">'Encoded Data'!B213</f>
        <v>1</v>
      </c>
      <c r="F213" s="3" t="n">
        <f aca="false">'Encoded Data'!C213</f>
        <v>3</v>
      </c>
      <c r="G213" s="3" t="n">
        <f aca="false">'Encoded Data'!D213</f>
        <v>1</v>
      </c>
      <c r="H213" s="8" t="n">
        <f aca="false">'Encoded Data'!G213</f>
        <v>5.16</v>
      </c>
      <c r="I213" s="8" t="n">
        <f aca="false">0.675081+0.094264*B213+0.174964*C213+-0.036633*D213+-0.072844*E213+0.053005*F213+-0.116006*G213</f>
        <v>3.74896396</v>
      </c>
      <c r="J213" s="8" t="n">
        <f aca="false">H213-I213</f>
        <v>1.41103604</v>
      </c>
    </row>
    <row r="214" customFormat="false" ht="15" hidden="false" customHeight="false" outlineLevel="0" collapsed="false">
      <c r="A214" s="4" t="n">
        <v>212</v>
      </c>
      <c r="B214" s="4" t="n">
        <f aca="false">'Encoded Data'!F214</f>
        <v>48.33</v>
      </c>
      <c r="C214" s="4" t="n">
        <f aca="false">'Encoded Data'!E214</f>
        <v>4</v>
      </c>
      <c r="D214" s="4" t="n">
        <f aca="false">'Encoded Data'!A214</f>
        <v>1</v>
      </c>
      <c r="E214" s="4" t="n">
        <f aca="false">'Encoded Data'!B214</f>
        <v>0</v>
      </c>
      <c r="F214" s="4" t="n">
        <f aca="false">'Encoded Data'!C214</f>
        <v>3</v>
      </c>
      <c r="G214" s="4" t="n">
        <f aca="false">'Encoded Data'!D214</f>
        <v>1</v>
      </c>
      <c r="H214" s="10" t="n">
        <f aca="false">'Encoded Data'!G214</f>
        <v>9</v>
      </c>
      <c r="I214" s="10" t="n">
        <f aca="false">0.675081+0.094264*B214+0.174964*C214+-0.036633*D214+-0.072844*E214+0.053005*F214+-0.116006*G214</f>
        <v>5.93709212</v>
      </c>
      <c r="J214" s="10" t="n">
        <f aca="false">H214-I214</f>
        <v>3.06290788</v>
      </c>
    </row>
    <row r="215" customFormat="false" ht="15" hidden="false" customHeight="false" outlineLevel="0" collapsed="false">
      <c r="A215" s="3" t="n">
        <v>213</v>
      </c>
      <c r="B215" s="3" t="n">
        <f aca="false">'Encoded Data'!F215</f>
        <v>13.27</v>
      </c>
      <c r="C215" s="3" t="n">
        <f aca="false">'Encoded Data'!E215</f>
        <v>2</v>
      </c>
      <c r="D215" s="3" t="n">
        <f aca="false">'Encoded Data'!A215</f>
        <v>0</v>
      </c>
      <c r="E215" s="3" t="n">
        <f aca="false">'Encoded Data'!B215</f>
        <v>1</v>
      </c>
      <c r="F215" s="3" t="n">
        <f aca="false">'Encoded Data'!C215</f>
        <v>3</v>
      </c>
      <c r="G215" s="3" t="n">
        <f aca="false">'Encoded Data'!D215</f>
        <v>1</v>
      </c>
      <c r="H215" s="8" t="n">
        <f aca="false">'Encoded Data'!G215</f>
        <v>2.5</v>
      </c>
      <c r="I215" s="8" t="n">
        <f aca="false">0.675081+0.094264*B215+0.174964*C215+-0.036633*D215+-0.072844*E215+0.053005*F215+-0.116006*G215</f>
        <v>2.24605728</v>
      </c>
      <c r="J215" s="8" t="n">
        <f aca="false">H215-I215</f>
        <v>0.25394272</v>
      </c>
    </row>
    <row r="216" customFormat="false" ht="15" hidden="false" customHeight="false" outlineLevel="0" collapsed="false">
      <c r="A216" s="4" t="n">
        <v>214</v>
      </c>
      <c r="B216" s="4" t="n">
        <f aca="false">'Encoded Data'!F216</f>
        <v>28.17</v>
      </c>
      <c r="C216" s="4" t="n">
        <f aca="false">'Encoded Data'!E216</f>
        <v>3</v>
      </c>
      <c r="D216" s="4" t="n">
        <f aca="false">'Encoded Data'!A216</f>
        <v>0</v>
      </c>
      <c r="E216" s="4" t="n">
        <f aca="false">'Encoded Data'!B216</f>
        <v>1</v>
      </c>
      <c r="F216" s="4" t="n">
        <f aca="false">'Encoded Data'!C216</f>
        <v>3</v>
      </c>
      <c r="G216" s="4" t="n">
        <f aca="false">'Encoded Data'!D216</f>
        <v>1</v>
      </c>
      <c r="H216" s="10" t="n">
        <f aca="false">'Encoded Data'!G216</f>
        <v>6.5</v>
      </c>
      <c r="I216" s="10" t="n">
        <f aca="false">0.675081+0.094264*B216+0.174964*C216+-0.036633*D216+-0.072844*E216+0.053005*F216+-0.116006*G216</f>
        <v>3.82555488</v>
      </c>
      <c r="J216" s="10" t="n">
        <f aca="false">H216-I216</f>
        <v>2.67444512</v>
      </c>
    </row>
    <row r="217" customFormat="false" ht="15" hidden="false" customHeight="false" outlineLevel="0" collapsed="false">
      <c r="A217" s="3" t="n">
        <v>215</v>
      </c>
      <c r="B217" s="3" t="n">
        <f aca="false">'Encoded Data'!F217</f>
        <v>12.9</v>
      </c>
      <c r="C217" s="3" t="n">
        <f aca="false">'Encoded Data'!E217</f>
        <v>2</v>
      </c>
      <c r="D217" s="3" t="n">
        <f aca="false">'Encoded Data'!A217</f>
        <v>0</v>
      </c>
      <c r="E217" s="3" t="n">
        <f aca="false">'Encoded Data'!B217</f>
        <v>1</v>
      </c>
      <c r="F217" s="3" t="n">
        <f aca="false">'Encoded Data'!C217</f>
        <v>3</v>
      </c>
      <c r="G217" s="3" t="n">
        <f aca="false">'Encoded Data'!D217</f>
        <v>1</v>
      </c>
      <c r="H217" s="8" t="n">
        <f aca="false">'Encoded Data'!G217</f>
        <v>1.1</v>
      </c>
      <c r="I217" s="8" t="n">
        <f aca="false">0.675081+0.094264*B217+0.174964*C217+-0.036633*D217+-0.072844*E217+0.053005*F217+-0.116006*G217</f>
        <v>2.2111796</v>
      </c>
      <c r="J217" s="8" t="n">
        <f aca="false">H217-I217</f>
        <v>-1.1111796</v>
      </c>
    </row>
    <row r="218" customFormat="false" ht="15" hidden="false" customHeight="false" outlineLevel="0" collapsed="false">
      <c r="A218" s="4" t="n">
        <v>216</v>
      </c>
      <c r="B218" s="4" t="n">
        <f aca="false">'Encoded Data'!F218</f>
        <v>28.15</v>
      </c>
      <c r="C218" s="4" t="n">
        <f aca="false">'Encoded Data'!E218</f>
        <v>5</v>
      </c>
      <c r="D218" s="4" t="n">
        <f aca="false">'Encoded Data'!A218</f>
        <v>1</v>
      </c>
      <c r="E218" s="4" t="n">
        <f aca="false">'Encoded Data'!B218</f>
        <v>1</v>
      </c>
      <c r="F218" s="4" t="n">
        <f aca="false">'Encoded Data'!C218</f>
        <v>3</v>
      </c>
      <c r="G218" s="4" t="n">
        <f aca="false">'Encoded Data'!D218</f>
        <v>1</v>
      </c>
      <c r="H218" s="10" t="n">
        <f aca="false">'Encoded Data'!G218</f>
        <v>3</v>
      </c>
      <c r="I218" s="10" t="n">
        <f aca="false">0.675081+0.094264*B218+0.174964*C218+-0.036633*D218+-0.072844*E218+0.053005*F218+-0.116006*G218</f>
        <v>4.1369646</v>
      </c>
      <c r="J218" s="10" t="n">
        <f aca="false">H218-I218</f>
        <v>-1.1369646</v>
      </c>
    </row>
    <row r="219" customFormat="false" ht="15" hidden="false" customHeight="false" outlineLevel="0" collapsed="false">
      <c r="A219" s="3" t="n">
        <v>217</v>
      </c>
      <c r="B219" s="3" t="n">
        <f aca="false">'Encoded Data'!F219</f>
        <v>11.59</v>
      </c>
      <c r="C219" s="3" t="n">
        <f aca="false">'Encoded Data'!E219</f>
        <v>2</v>
      </c>
      <c r="D219" s="3" t="n">
        <f aca="false">'Encoded Data'!A219</f>
        <v>1</v>
      </c>
      <c r="E219" s="3" t="n">
        <f aca="false">'Encoded Data'!B219</f>
        <v>1</v>
      </c>
      <c r="F219" s="3" t="n">
        <f aca="false">'Encoded Data'!C219</f>
        <v>3</v>
      </c>
      <c r="G219" s="3" t="n">
        <f aca="false">'Encoded Data'!D219</f>
        <v>1</v>
      </c>
      <c r="H219" s="8" t="n">
        <f aca="false">'Encoded Data'!G219</f>
        <v>1.5</v>
      </c>
      <c r="I219" s="8" t="n">
        <f aca="false">0.675081+0.094264*B219+0.174964*C219+-0.036633*D219+-0.072844*E219+0.053005*F219+-0.116006*G219</f>
        <v>2.05106076</v>
      </c>
      <c r="J219" s="8" t="n">
        <f aca="false">H219-I219</f>
        <v>-0.55106076</v>
      </c>
    </row>
    <row r="220" customFormat="false" ht="15" hidden="false" customHeight="false" outlineLevel="0" collapsed="false">
      <c r="A220" s="4" t="n">
        <v>218</v>
      </c>
      <c r="B220" s="4" t="n">
        <f aca="false">'Encoded Data'!F220</f>
        <v>7.74</v>
      </c>
      <c r="C220" s="4" t="n">
        <f aca="false">'Encoded Data'!E220</f>
        <v>2</v>
      </c>
      <c r="D220" s="4" t="n">
        <f aca="false">'Encoded Data'!A220</f>
        <v>1</v>
      </c>
      <c r="E220" s="4" t="n">
        <f aca="false">'Encoded Data'!B220</f>
        <v>1</v>
      </c>
      <c r="F220" s="4" t="n">
        <f aca="false">'Encoded Data'!C220</f>
        <v>3</v>
      </c>
      <c r="G220" s="4" t="n">
        <f aca="false">'Encoded Data'!D220</f>
        <v>1</v>
      </c>
      <c r="H220" s="10" t="n">
        <f aca="false">'Encoded Data'!G220</f>
        <v>1.44</v>
      </c>
      <c r="I220" s="10" t="n">
        <f aca="false">0.675081+0.094264*B220+0.174964*C220+-0.036633*D220+-0.072844*E220+0.053005*F220+-0.116006*G220</f>
        <v>1.68814436</v>
      </c>
      <c r="J220" s="10" t="n">
        <f aca="false">H220-I220</f>
        <v>-0.24814436</v>
      </c>
    </row>
    <row r="221" customFormat="false" ht="15" hidden="false" customHeight="false" outlineLevel="0" collapsed="false">
      <c r="A221" s="3" t="n">
        <v>219</v>
      </c>
      <c r="B221" s="3" t="n">
        <f aca="false">'Encoded Data'!F221</f>
        <v>30.14</v>
      </c>
      <c r="C221" s="3" t="n">
        <f aca="false">'Encoded Data'!E221</f>
        <v>4</v>
      </c>
      <c r="D221" s="3" t="n">
        <f aca="false">'Encoded Data'!A221</f>
        <v>0</v>
      </c>
      <c r="E221" s="3" t="n">
        <f aca="false">'Encoded Data'!B221</f>
        <v>1</v>
      </c>
      <c r="F221" s="3" t="n">
        <f aca="false">'Encoded Data'!C221</f>
        <v>3</v>
      </c>
      <c r="G221" s="3" t="n">
        <f aca="false">'Encoded Data'!D221</f>
        <v>1</v>
      </c>
      <c r="H221" s="8" t="n">
        <f aca="false">'Encoded Data'!G221</f>
        <v>3.09</v>
      </c>
      <c r="I221" s="8" t="n">
        <f aca="false">0.675081+0.094264*B221+0.174964*C221+-0.036633*D221+-0.072844*E221+0.053005*F221+-0.116006*G221</f>
        <v>4.18621896</v>
      </c>
      <c r="J221" s="8" t="n">
        <f aca="false">H221-I221</f>
        <v>-1.09621896</v>
      </c>
    </row>
    <row r="222" customFormat="false" ht="15" hidden="false" customHeight="false" outlineLevel="0" collapsed="false">
      <c r="A222" s="4" t="n">
        <v>220</v>
      </c>
      <c r="B222" s="4" t="n">
        <f aca="false">'Encoded Data'!F222</f>
        <v>12.16</v>
      </c>
      <c r="C222" s="4" t="n">
        <f aca="false">'Encoded Data'!E222</f>
        <v>2</v>
      </c>
      <c r="D222" s="4" t="n">
        <f aca="false">'Encoded Data'!A222</f>
        <v>1</v>
      </c>
      <c r="E222" s="4" t="n">
        <f aca="false">'Encoded Data'!B222</f>
        <v>1</v>
      </c>
      <c r="F222" s="4" t="n">
        <f aca="false">'Encoded Data'!C222</f>
        <v>2</v>
      </c>
      <c r="G222" s="4" t="n">
        <f aca="false">'Encoded Data'!D222</f>
        <v>0</v>
      </c>
      <c r="H222" s="10" t="n">
        <f aca="false">'Encoded Data'!G222</f>
        <v>2.2</v>
      </c>
      <c r="I222" s="10" t="n">
        <f aca="false">0.675081+0.094264*B222+0.174964*C222+-0.036633*D222+-0.072844*E222+0.053005*F222+-0.116006*G222</f>
        <v>2.16779224</v>
      </c>
      <c r="J222" s="10" t="n">
        <f aca="false">H222-I222</f>
        <v>0.0322077599999999</v>
      </c>
    </row>
    <row r="223" customFormat="false" ht="15" hidden="false" customHeight="false" outlineLevel="0" collapsed="false">
      <c r="A223" s="3" t="n">
        <v>221</v>
      </c>
      <c r="B223" s="3" t="n">
        <f aca="false">'Encoded Data'!F223</f>
        <v>13.42</v>
      </c>
      <c r="C223" s="3" t="n">
        <f aca="false">'Encoded Data'!E223</f>
        <v>2</v>
      </c>
      <c r="D223" s="3" t="n">
        <f aca="false">'Encoded Data'!A223</f>
        <v>0</v>
      </c>
      <c r="E223" s="3" t="n">
        <f aca="false">'Encoded Data'!B223</f>
        <v>1</v>
      </c>
      <c r="F223" s="3" t="n">
        <f aca="false">'Encoded Data'!C223</f>
        <v>2</v>
      </c>
      <c r="G223" s="3" t="n">
        <f aca="false">'Encoded Data'!D223</f>
        <v>0</v>
      </c>
      <c r="H223" s="8" t="n">
        <f aca="false">'Encoded Data'!G223</f>
        <v>3.48</v>
      </c>
      <c r="I223" s="8" t="n">
        <f aca="false">0.675081+0.094264*B223+0.174964*C223+-0.036633*D223+-0.072844*E223+0.053005*F223+-0.116006*G223</f>
        <v>2.32319788</v>
      </c>
      <c r="J223" s="8" t="n">
        <f aca="false">H223-I223</f>
        <v>1.15680212</v>
      </c>
    </row>
    <row r="224" customFormat="false" ht="15" hidden="false" customHeight="false" outlineLevel="0" collapsed="false">
      <c r="A224" s="4" t="n">
        <v>222</v>
      </c>
      <c r="B224" s="4" t="n">
        <f aca="false">'Encoded Data'!F224</f>
        <v>8.58</v>
      </c>
      <c r="C224" s="4" t="n">
        <f aca="false">'Encoded Data'!E224</f>
        <v>1</v>
      </c>
      <c r="D224" s="4" t="n">
        <f aca="false">'Encoded Data'!A224</f>
        <v>1</v>
      </c>
      <c r="E224" s="4" t="n">
        <f aca="false">'Encoded Data'!B224</f>
        <v>1</v>
      </c>
      <c r="F224" s="4" t="n">
        <f aca="false">'Encoded Data'!C224</f>
        <v>2</v>
      </c>
      <c r="G224" s="4" t="n">
        <f aca="false">'Encoded Data'!D224</f>
        <v>0</v>
      </c>
      <c r="H224" s="10" t="n">
        <f aca="false">'Encoded Data'!G224</f>
        <v>1.92</v>
      </c>
      <c r="I224" s="10" t="n">
        <f aca="false">0.675081+0.094264*B224+0.174964*C224+-0.036633*D224+-0.072844*E224+0.053005*F224+-0.116006*G224</f>
        <v>1.65536312</v>
      </c>
      <c r="J224" s="10" t="n">
        <f aca="false">H224-I224</f>
        <v>0.26463688</v>
      </c>
    </row>
    <row r="225" customFormat="false" ht="15" hidden="false" customHeight="false" outlineLevel="0" collapsed="false">
      <c r="A225" s="3" t="n">
        <v>223</v>
      </c>
      <c r="B225" s="3" t="n">
        <f aca="false">'Encoded Data'!F225</f>
        <v>15.98</v>
      </c>
      <c r="C225" s="3" t="n">
        <f aca="false">'Encoded Data'!E225</f>
        <v>3</v>
      </c>
      <c r="D225" s="3" t="n">
        <f aca="false">'Encoded Data'!A225</f>
        <v>0</v>
      </c>
      <c r="E225" s="3" t="n">
        <f aca="false">'Encoded Data'!B225</f>
        <v>0</v>
      </c>
      <c r="F225" s="3" t="n">
        <f aca="false">'Encoded Data'!C225</f>
        <v>2</v>
      </c>
      <c r="G225" s="3" t="n">
        <f aca="false">'Encoded Data'!D225</f>
        <v>0</v>
      </c>
      <c r="H225" s="8" t="n">
        <f aca="false">'Encoded Data'!G225</f>
        <v>3</v>
      </c>
      <c r="I225" s="8" t="n">
        <f aca="false">0.675081+0.094264*B225+0.174964*C225+-0.036633*D225+-0.072844*E225+0.053005*F225+-0.116006*G225</f>
        <v>2.81232172</v>
      </c>
      <c r="J225" s="8" t="n">
        <f aca="false">H225-I225</f>
        <v>0.18767828</v>
      </c>
    </row>
    <row r="226" customFormat="false" ht="15" hidden="false" customHeight="false" outlineLevel="0" collapsed="false">
      <c r="A226" s="4" t="n">
        <v>224</v>
      </c>
      <c r="B226" s="4" t="n">
        <f aca="false">'Encoded Data'!F226</f>
        <v>13.42</v>
      </c>
      <c r="C226" s="4" t="n">
        <f aca="false">'Encoded Data'!E226</f>
        <v>2</v>
      </c>
      <c r="D226" s="4" t="n">
        <f aca="false">'Encoded Data'!A226</f>
        <v>1</v>
      </c>
      <c r="E226" s="4" t="n">
        <f aca="false">'Encoded Data'!B226</f>
        <v>1</v>
      </c>
      <c r="F226" s="4" t="n">
        <f aca="false">'Encoded Data'!C226</f>
        <v>2</v>
      </c>
      <c r="G226" s="4" t="n">
        <f aca="false">'Encoded Data'!D226</f>
        <v>0</v>
      </c>
      <c r="H226" s="10" t="n">
        <f aca="false">'Encoded Data'!G226</f>
        <v>1.58</v>
      </c>
      <c r="I226" s="10" t="n">
        <f aca="false">0.675081+0.094264*B226+0.174964*C226+-0.036633*D226+-0.072844*E226+0.053005*F226+-0.116006*G226</f>
        <v>2.28656488</v>
      </c>
      <c r="J226" s="10" t="n">
        <f aca="false">H226-I226</f>
        <v>-0.70656488</v>
      </c>
    </row>
    <row r="227" customFormat="false" ht="15" hidden="false" customHeight="false" outlineLevel="0" collapsed="false">
      <c r="A227" s="3" t="n">
        <v>225</v>
      </c>
      <c r="B227" s="3" t="n">
        <f aca="false">'Encoded Data'!F227</f>
        <v>16.27</v>
      </c>
      <c r="C227" s="3" t="n">
        <f aca="false">'Encoded Data'!E227</f>
        <v>2</v>
      </c>
      <c r="D227" s="3" t="n">
        <f aca="false">'Encoded Data'!A227</f>
        <v>0</v>
      </c>
      <c r="E227" s="3" t="n">
        <f aca="false">'Encoded Data'!B227</f>
        <v>1</v>
      </c>
      <c r="F227" s="3" t="n">
        <f aca="false">'Encoded Data'!C227</f>
        <v>2</v>
      </c>
      <c r="G227" s="3" t="n">
        <f aca="false">'Encoded Data'!D227</f>
        <v>0</v>
      </c>
      <c r="H227" s="8" t="n">
        <f aca="false">'Encoded Data'!G227</f>
        <v>2.5</v>
      </c>
      <c r="I227" s="8" t="n">
        <f aca="false">0.675081+0.094264*B227+0.174964*C227+-0.036633*D227+-0.072844*E227+0.053005*F227+-0.116006*G227</f>
        <v>2.59185028</v>
      </c>
      <c r="J227" s="8" t="n">
        <f aca="false">H227-I227</f>
        <v>-0.0918502800000005</v>
      </c>
    </row>
    <row r="228" customFormat="false" ht="15" hidden="false" customHeight="false" outlineLevel="0" collapsed="false">
      <c r="A228" s="4" t="n">
        <v>226</v>
      </c>
      <c r="B228" s="4" t="n">
        <f aca="false">'Encoded Data'!F228</f>
        <v>10.09</v>
      </c>
      <c r="C228" s="4" t="n">
        <f aca="false">'Encoded Data'!E228</f>
        <v>2</v>
      </c>
      <c r="D228" s="4" t="n">
        <f aca="false">'Encoded Data'!A228</f>
        <v>0</v>
      </c>
      <c r="E228" s="4" t="n">
        <f aca="false">'Encoded Data'!B228</f>
        <v>1</v>
      </c>
      <c r="F228" s="4" t="n">
        <f aca="false">'Encoded Data'!C228</f>
        <v>2</v>
      </c>
      <c r="G228" s="4" t="n">
        <f aca="false">'Encoded Data'!D228</f>
        <v>0</v>
      </c>
      <c r="H228" s="10" t="n">
        <f aca="false">'Encoded Data'!G228</f>
        <v>2</v>
      </c>
      <c r="I228" s="10" t="n">
        <f aca="false">0.675081+0.094264*B228+0.174964*C228+-0.036633*D228+-0.072844*E228+0.053005*F228+-0.116006*G228</f>
        <v>2.00929876</v>
      </c>
      <c r="J228" s="10" t="n">
        <f aca="false">H228-I228</f>
        <v>-0.00929876000000007</v>
      </c>
    </row>
    <row r="229" customFormat="false" ht="15" hidden="false" customHeight="false" outlineLevel="0" collapsed="false">
      <c r="A229" s="3" t="n">
        <v>227</v>
      </c>
      <c r="B229" s="3" t="n">
        <f aca="false">'Encoded Data'!F229</f>
        <v>20.45</v>
      </c>
      <c r="C229" s="3" t="n">
        <f aca="false">'Encoded Data'!E229</f>
        <v>4</v>
      </c>
      <c r="D229" s="3" t="n">
        <f aca="false">'Encoded Data'!A229</f>
        <v>1</v>
      </c>
      <c r="E229" s="3" t="n">
        <f aca="false">'Encoded Data'!B229</f>
        <v>0</v>
      </c>
      <c r="F229" s="3" t="n">
        <f aca="false">'Encoded Data'!C229</f>
        <v>3</v>
      </c>
      <c r="G229" s="3" t="n">
        <f aca="false">'Encoded Data'!D229</f>
        <v>1</v>
      </c>
      <c r="H229" s="8" t="n">
        <f aca="false">'Encoded Data'!G229</f>
        <v>3</v>
      </c>
      <c r="I229" s="8" t="n">
        <f aca="false">0.675081+0.094264*B229+0.174964*C229+-0.036633*D229+-0.072844*E229+0.053005*F229+-0.116006*G229</f>
        <v>3.3090118</v>
      </c>
      <c r="J229" s="8" t="n">
        <f aca="false">H229-I229</f>
        <v>-0.3090118</v>
      </c>
    </row>
    <row r="230" customFormat="false" ht="15" hidden="false" customHeight="false" outlineLevel="0" collapsed="false">
      <c r="A230" s="4" t="n">
        <v>228</v>
      </c>
      <c r="B230" s="4" t="n">
        <f aca="false">'Encoded Data'!F230</f>
        <v>13.28</v>
      </c>
      <c r="C230" s="4" t="n">
        <f aca="false">'Encoded Data'!E230</f>
        <v>2</v>
      </c>
      <c r="D230" s="4" t="n">
        <f aca="false">'Encoded Data'!A230</f>
        <v>1</v>
      </c>
      <c r="E230" s="4" t="n">
        <f aca="false">'Encoded Data'!B230</f>
        <v>0</v>
      </c>
      <c r="F230" s="4" t="n">
        <f aca="false">'Encoded Data'!C230</f>
        <v>3</v>
      </c>
      <c r="G230" s="4" t="n">
        <f aca="false">'Encoded Data'!D230</f>
        <v>1</v>
      </c>
      <c r="H230" s="10" t="n">
        <f aca="false">'Encoded Data'!G230</f>
        <v>2.72</v>
      </c>
      <c r="I230" s="10" t="n">
        <f aca="false">0.675081+0.094264*B230+0.174964*C230+-0.036633*D230+-0.072844*E230+0.053005*F230+-0.116006*G230</f>
        <v>2.28321092</v>
      </c>
      <c r="J230" s="10" t="n">
        <f aca="false">H230-I230</f>
        <v>0.436789080000001</v>
      </c>
    </row>
    <row r="231" customFormat="false" ht="15" hidden="false" customHeight="false" outlineLevel="0" collapsed="false">
      <c r="A231" s="3" t="n">
        <v>229</v>
      </c>
      <c r="B231" s="3" t="n">
        <f aca="false">'Encoded Data'!F231</f>
        <v>22.12</v>
      </c>
      <c r="C231" s="3" t="n">
        <f aca="false">'Encoded Data'!E231</f>
        <v>2</v>
      </c>
      <c r="D231" s="3" t="n">
        <f aca="false">'Encoded Data'!A231</f>
        <v>0</v>
      </c>
      <c r="E231" s="3" t="n">
        <f aca="false">'Encoded Data'!B231</f>
        <v>1</v>
      </c>
      <c r="F231" s="3" t="n">
        <f aca="false">'Encoded Data'!C231</f>
        <v>3</v>
      </c>
      <c r="G231" s="3" t="n">
        <f aca="false">'Encoded Data'!D231</f>
        <v>1</v>
      </c>
      <c r="H231" s="8" t="n">
        <f aca="false">'Encoded Data'!G231</f>
        <v>2.88</v>
      </c>
      <c r="I231" s="8" t="n">
        <f aca="false">0.675081+0.094264*B231+0.174964*C231+-0.036633*D231+-0.072844*E231+0.053005*F231+-0.116006*G231</f>
        <v>3.08029368</v>
      </c>
      <c r="J231" s="8" t="n">
        <f aca="false">H231-I231</f>
        <v>-0.20029368</v>
      </c>
    </row>
    <row r="232" customFormat="false" ht="15" hidden="false" customHeight="false" outlineLevel="0" collapsed="false">
      <c r="A232" s="4" t="n">
        <v>230</v>
      </c>
      <c r="B232" s="4" t="n">
        <f aca="false">'Encoded Data'!F232</f>
        <v>24.01</v>
      </c>
      <c r="C232" s="4" t="n">
        <f aca="false">'Encoded Data'!E232</f>
        <v>4</v>
      </c>
      <c r="D232" s="4" t="n">
        <f aca="false">'Encoded Data'!A232</f>
        <v>1</v>
      </c>
      <c r="E232" s="4" t="n">
        <f aca="false">'Encoded Data'!B232</f>
        <v>1</v>
      </c>
      <c r="F232" s="4" t="n">
        <f aca="false">'Encoded Data'!C232</f>
        <v>3</v>
      </c>
      <c r="G232" s="4" t="n">
        <f aca="false">'Encoded Data'!D232</f>
        <v>1</v>
      </c>
      <c r="H232" s="10" t="n">
        <f aca="false">'Encoded Data'!G232</f>
        <v>2</v>
      </c>
      <c r="I232" s="10" t="n">
        <f aca="false">0.675081+0.094264*B232+0.174964*C232+-0.036633*D232+-0.072844*E232+0.053005*F232+-0.116006*G232</f>
        <v>3.57174764</v>
      </c>
      <c r="J232" s="10" t="n">
        <f aca="false">H232-I232</f>
        <v>-1.57174764</v>
      </c>
    </row>
    <row r="233" customFormat="false" ht="15" hidden="false" customHeight="false" outlineLevel="0" collapsed="false">
      <c r="A233" s="3" t="n">
        <v>231</v>
      </c>
      <c r="B233" s="3" t="n">
        <f aca="false">'Encoded Data'!F233</f>
        <v>15.69</v>
      </c>
      <c r="C233" s="3" t="n">
        <f aca="false">'Encoded Data'!E233</f>
        <v>3</v>
      </c>
      <c r="D233" s="3" t="n">
        <f aca="false">'Encoded Data'!A233</f>
        <v>1</v>
      </c>
      <c r="E233" s="3" t="n">
        <f aca="false">'Encoded Data'!B233</f>
        <v>1</v>
      </c>
      <c r="F233" s="3" t="n">
        <f aca="false">'Encoded Data'!C233</f>
        <v>3</v>
      </c>
      <c r="G233" s="3" t="n">
        <f aca="false">'Encoded Data'!D233</f>
        <v>1</v>
      </c>
      <c r="H233" s="8" t="n">
        <f aca="false">'Encoded Data'!G233</f>
        <v>3</v>
      </c>
      <c r="I233" s="8" t="n">
        <f aca="false">0.675081+0.094264*B233+0.174964*C233+-0.036633*D233+-0.072844*E233+0.053005*F233+-0.116006*G233</f>
        <v>2.61250716</v>
      </c>
      <c r="J233" s="8" t="n">
        <f aca="false">H233-I233</f>
        <v>0.38749284</v>
      </c>
    </row>
    <row r="234" customFormat="false" ht="15" hidden="false" customHeight="false" outlineLevel="0" collapsed="false">
      <c r="A234" s="4" t="n">
        <v>232</v>
      </c>
      <c r="B234" s="4" t="n">
        <f aca="false">'Encoded Data'!F234</f>
        <v>11.61</v>
      </c>
      <c r="C234" s="4" t="n">
        <f aca="false">'Encoded Data'!E234</f>
        <v>2</v>
      </c>
      <c r="D234" s="4" t="n">
        <f aca="false">'Encoded Data'!A234</f>
        <v>1</v>
      </c>
      <c r="E234" s="4" t="n">
        <f aca="false">'Encoded Data'!B234</f>
        <v>0</v>
      </c>
      <c r="F234" s="4" t="n">
        <f aca="false">'Encoded Data'!C234</f>
        <v>3</v>
      </c>
      <c r="G234" s="4" t="n">
        <f aca="false">'Encoded Data'!D234</f>
        <v>1</v>
      </c>
      <c r="H234" s="10" t="n">
        <f aca="false">'Encoded Data'!G234</f>
        <v>3.39</v>
      </c>
      <c r="I234" s="10" t="n">
        <f aca="false">0.675081+0.094264*B234+0.174964*C234+-0.036633*D234+-0.072844*E234+0.053005*F234+-0.116006*G234</f>
        <v>2.12579004</v>
      </c>
      <c r="J234" s="10" t="n">
        <f aca="false">H234-I234</f>
        <v>1.26420996</v>
      </c>
    </row>
    <row r="235" customFormat="false" ht="15" hidden="false" customHeight="false" outlineLevel="0" collapsed="false">
      <c r="A235" s="3" t="n">
        <v>233</v>
      </c>
      <c r="B235" s="3" t="n">
        <f aca="false">'Encoded Data'!F235</f>
        <v>10.77</v>
      </c>
      <c r="C235" s="3" t="n">
        <f aca="false">'Encoded Data'!E235</f>
        <v>2</v>
      </c>
      <c r="D235" s="3" t="n">
        <f aca="false">'Encoded Data'!A235</f>
        <v>1</v>
      </c>
      <c r="E235" s="3" t="n">
        <f aca="false">'Encoded Data'!B235</f>
        <v>0</v>
      </c>
      <c r="F235" s="3" t="n">
        <f aca="false">'Encoded Data'!C235</f>
        <v>3</v>
      </c>
      <c r="G235" s="3" t="n">
        <f aca="false">'Encoded Data'!D235</f>
        <v>1</v>
      </c>
      <c r="H235" s="8" t="n">
        <f aca="false">'Encoded Data'!G235</f>
        <v>1.47</v>
      </c>
      <c r="I235" s="8" t="n">
        <f aca="false">0.675081+0.094264*B235+0.174964*C235+-0.036633*D235+-0.072844*E235+0.053005*F235+-0.116006*G235</f>
        <v>2.04660828</v>
      </c>
      <c r="J235" s="8" t="n">
        <f aca="false">H235-I235</f>
        <v>-0.57660828</v>
      </c>
    </row>
    <row r="236" customFormat="false" ht="15" hidden="false" customHeight="false" outlineLevel="0" collapsed="false">
      <c r="A236" s="4" t="n">
        <v>234</v>
      </c>
      <c r="B236" s="4" t="n">
        <f aca="false">'Encoded Data'!F236</f>
        <v>15.53</v>
      </c>
      <c r="C236" s="4" t="n">
        <f aca="false">'Encoded Data'!E236</f>
        <v>2</v>
      </c>
      <c r="D236" s="4" t="n">
        <f aca="false">'Encoded Data'!A236</f>
        <v>1</v>
      </c>
      <c r="E236" s="4" t="n">
        <f aca="false">'Encoded Data'!B236</f>
        <v>1</v>
      </c>
      <c r="F236" s="4" t="n">
        <f aca="false">'Encoded Data'!C236</f>
        <v>3</v>
      </c>
      <c r="G236" s="4" t="n">
        <f aca="false">'Encoded Data'!D236</f>
        <v>1</v>
      </c>
      <c r="H236" s="10" t="n">
        <f aca="false">'Encoded Data'!G236</f>
        <v>3</v>
      </c>
      <c r="I236" s="10" t="n">
        <f aca="false">0.675081+0.094264*B236+0.174964*C236+-0.036633*D236+-0.072844*E236+0.053005*F236+-0.116006*G236</f>
        <v>2.42246092</v>
      </c>
      <c r="J236" s="10" t="n">
        <f aca="false">H236-I236</f>
        <v>0.57753908</v>
      </c>
    </row>
    <row r="237" customFormat="false" ht="15" hidden="false" customHeight="false" outlineLevel="0" collapsed="false">
      <c r="A237" s="3" t="n">
        <v>235</v>
      </c>
      <c r="B237" s="3" t="n">
        <f aca="false">'Encoded Data'!F237</f>
        <v>10.07</v>
      </c>
      <c r="C237" s="3" t="n">
        <f aca="false">'Encoded Data'!E237</f>
        <v>2</v>
      </c>
      <c r="D237" s="3" t="n">
        <f aca="false">'Encoded Data'!A237</f>
        <v>1</v>
      </c>
      <c r="E237" s="3" t="n">
        <f aca="false">'Encoded Data'!B237</f>
        <v>0</v>
      </c>
      <c r="F237" s="3" t="n">
        <f aca="false">'Encoded Data'!C237</f>
        <v>3</v>
      </c>
      <c r="G237" s="3" t="n">
        <f aca="false">'Encoded Data'!D237</f>
        <v>1</v>
      </c>
      <c r="H237" s="8" t="n">
        <f aca="false">'Encoded Data'!G237</f>
        <v>1.25</v>
      </c>
      <c r="I237" s="8" t="n">
        <f aca="false">0.675081+0.094264*B237+0.174964*C237+-0.036633*D237+-0.072844*E237+0.053005*F237+-0.116006*G237</f>
        <v>1.98062348</v>
      </c>
      <c r="J237" s="8" t="n">
        <f aca="false">H237-I237</f>
        <v>-0.73062348</v>
      </c>
    </row>
    <row r="238" customFormat="false" ht="15" hidden="false" customHeight="false" outlineLevel="0" collapsed="false">
      <c r="A238" s="4" t="n">
        <v>236</v>
      </c>
      <c r="B238" s="4" t="n">
        <f aca="false">'Encoded Data'!F238</f>
        <v>12.6</v>
      </c>
      <c r="C238" s="4" t="n">
        <f aca="false">'Encoded Data'!E238</f>
        <v>2</v>
      </c>
      <c r="D238" s="4" t="n">
        <f aca="false">'Encoded Data'!A238</f>
        <v>1</v>
      </c>
      <c r="E238" s="4" t="n">
        <f aca="false">'Encoded Data'!B238</f>
        <v>1</v>
      </c>
      <c r="F238" s="4" t="n">
        <f aca="false">'Encoded Data'!C238</f>
        <v>3</v>
      </c>
      <c r="G238" s="4" t="n">
        <f aca="false">'Encoded Data'!D238</f>
        <v>1</v>
      </c>
      <c r="H238" s="10" t="n">
        <f aca="false">'Encoded Data'!G238</f>
        <v>1</v>
      </c>
      <c r="I238" s="10" t="n">
        <f aca="false">0.675081+0.094264*B238+0.174964*C238+-0.036633*D238+-0.072844*E238+0.053005*F238+-0.116006*G238</f>
        <v>2.1462674</v>
      </c>
      <c r="J238" s="10" t="n">
        <f aca="false">H238-I238</f>
        <v>-1.1462674</v>
      </c>
    </row>
    <row r="239" customFormat="false" ht="15" hidden="false" customHeight="false" outlineLevel="0" collapsed="false">
      <c r="A239" s="3" t="n">
        <v>237</v>
      </c>
      <c r="B239" s="3" t="n">
        <f aca="false">'Encoded Data'!F239</f>
        <v>32.83</v>
      </c>
      <c r="C239" s="3" t="n">
        <f aca="false">'Encoded Data'!E239</f>
        <v>2</v>
      </c>
      <c r="D239" s="3" t="n">
        <f aca="false">'Encoded Data'!A239</f>
        <v>1</v>
      </c>
      <c r="E239" s="3" t="n">
        <f aca="false">'Encoded Data'!B239</f>
        <v>1</v>
      </c>
      <c r="F239" s="3" t="n">
        <f aca="false">'Encoded Data'!C239</f>
        <v>3</v>
      </c>
      <c r="G239" s="3" t="n">
        <f aca="false">'Encoded Data'!D239</f>
        <v>1</v>
      </c>
      <c r="H239" s="8" t="n">
        <f aca="false">'Encoded Data'!G239</f>
        <v>1.17</v>
      </c>
      <c r="I239" s="8" t="n">
        <f aca="false">0.675081+0.094264*B239+0.174964*C239+-0.036633*D239+-0.072844*E239+0.053005*F239+-0.116006*G239</f>
        <v>4.05322812</v>
      </c>
      <c r="J239" s="8" t="n">
        <f aca="false">H239-I239</f>
        <v>-2.88322812</v>
      </c>
    </row>
    <row r="240" customFormat="false" ht="15" hidden="false" customHeight="false" outlineLevel="0" collapsed="false">
      <c r="A240" s="4" t="n">
        <v>238</v>
      </c>
      <c r="B240" s="4" t="n">
        <f aca="false">'Encoded Data'!F240</f>
        <v>35.83</v>
      </c>
      <c r="C240" s="4" t="n">
        <f aca="false">'Encoded Data'!E240</f>
        <v>3</v>
      </c>
      <c r="D240" s="4" t="n">
        <f aca="false">'Encoded Data'!A240</f>
        <v>0</v>
      </c>
      <c r="E240" s="4" t="n">
        <f aca="false">'Encoded Data'!B240</f>
        <v>0</v>
      </c>
      <c r="F240" s="4" t="n">
        <f aca="false">'Encoded Data'!C240</f>
        <v>3</v>
      </c>
      <c r="G240" s="4" t="n">
        <f aca="false">'Encoded Data'!D240</f>
        <v>1</v>
      </c>
      <c r="H240" s="10" t="n">
        <f aca="false">'Encoded Data'!G240</f>
        <v>4.67</v>
      </c>
      <c r="I240" s="10" t="n">
        <f aca="false">0.675081+0.094264*B240+0.174964*C240+-0.036633*D240+-0.072844*E240+0.053005*F240+-0.116006*G240</f>
        <v>4.62046112</v>
      </c>
      <c r="J240" s="10" t="n">
        <f aca="false">H240-I240</f>
        <v>0.0495388799999992</v>
      </c>
    </row>
    <row r="241" customFormat="false" ht="15" hidden="false" customHeight="false" outlineLevel="0" collapsed="false">
      <c r="A241" s="3" t="n">
        <v>239</v>
      </c>
      <c r="B241" s="3" t="n">
        <f aca="false">'Encoded Data'!F241</f>
        <v>29.03</v>
      </c>
      <c r="C241" s="3" t="n">
        <f aca="false">'Encoded Data'!E241</f>
        <v>3</v>
      </c>
      <c r="D241" s="3" t="n">
        <f aca="false">'Encoded Data'!A241</f>
        <v>1</v>
      </c>
      <c r="E241" s="3" t="n">
        <f aca="false">'Encoded Data'!B241</f>
        <v>0</v>
      </c>
      <c r="F241" s="3" t="n">
        <f aca="false">'Encoded Data'!C241</f>
        <v>3</v>
      </c>
      <c r="G241" s="3" t="n">
        <f aca="false">'Encoded Data'!D241</f>
        <v>1</v>
      </c>
      <c r="H241" s="8" t="n">
        <f aca="false">'Encoded Data'!G241</f>
        <v>5.92</v>
      </c>
      <c r="I241" s="8" t="n">
        <f aca="false">0.675081+0.094264*B241+0.174964*C241+-0.036633*D241+-0.072844*E241+0.053005*F241+-0.116006*G241</f>
        <v>3.94283292</v>
      </c>
      <c r="J241" s="8" t="n">
        <f aca="false">H241-I241</f>
        <v>1.97716708</v>
      </c>
    </row>
    <row r="242" customFormat="false" ht="15" hidden="false" customHeight="false" outlineLevel="0" collapsed="false">
      <c r="A242" s="4" t="n">
        <v>240</v>
      </c>
      <c r="B242" s="4" t="n">
        <f aca="false">'Encoded Data'!F242</f>
        <v>27.18</v>
      </c>
      <c r="C242" s="4" t="n">
        <f aca="false">'Encoded Data'!E242</f>
        <v>2</v>
      </c>
      <c r="D242" s="4" t="n">
        <f aca="false">'Encoded Data'!A242</f>
        <v>0</v>
      </c>
      <c r="E242" s="4" t="n">
        <f aca="false">'Encoded Data'!B242</f>
        <v>1</v>
      </c>
      <c r="F242" s="4" t="n">
        <f aca="false">'Encoded Data'!C242</f>
        <v>3</v>
      </c>
      <c r="G242" s="4" t="n">
        <f aca="false">'Encoded Data'!D242</f>
        <v>1</v>
      </c>
      <c r="H242" s="10" t="n">
        <f aca="false">'Encoded Data'!G242</f>
        <v>2</v>
      </c>
      <c r="I242" s="10" t="n">
        <f aca="false">0.675081+0.094264*B242+0.174964*C242+-0.036633*D242+-0.072844*E242+0.053005*F242+-0.116006*G242</f>
        <v>3.55726952</v>
      </c>
      <c r="J242" s="10" t="n">
        <f aca="false">H242-I242</f>
        <v>-1.55726952</v>
      </c>
    </row>
    <row r="243" customFormat="false" ht="15" hidden="false" customHeight="false" outlineLevel="0" collapsed="false">
      <c r="A243" s="3" t="n">
        <v>241</v>
      </c>
      <c r="B243" s="3" t="n">
        <f aca="false">'Encoded Data'!F243</f>
        <v>22.67</v>
      </c>
      <c r="C243" s="3" t="n">
        <f aca="false">'Encoded Data'!E243</f>
        <v>2</v>
      </c>
      <c r="D243" s="3" t="n">
        <f aca="false">'Encoded Data'!A243</f>
        <v>1</v>
      </c>
      <c r="E243" s="3" t="n">
        <f aca="false">'Encoded Data'!B243</f>
        <v>1</v>
      </c>
      <c r="F243" s="3" t="n">
        <f aca="false">'Encoded Data'!C243</f>
        <v>3</v>
      </c>
      <c r="G243" s="3" t="n">
        <f aca="false">'Encoded Data'!D243</f>
        <v>1</v>
      </c>
      <c r="H243" s="8" t="n">
        <f aca="false">'Encoded Data'!G243</f>
        <v>2</v>
      </c>
      <c r="I243" s="8" t="n">
        <f aca="false">0.675081+0.094264*B243+0.174964*C243+-0.036633*D243+-0.072844*E243+0.053005*F243+-0.116006*G243</f>
        <v>3.09550588</v>
      </c>
      <c r="J243" s="8" t="n">
        <f aca="false">H243-I243</f>
        <v>-1.09550588</v>
      </c>
    </row>
    <row r="244" customFormat="false" ht="15" hidden="false" customHeight="false" outlineLevel="0" collapsed="false">
      <c r="A244" s="4" t="n">
        <v>242</v>
      </c>
      <c r="B244" s="4" t="n">
        <f aca="false">'Encoded Data'!F244</f>
        <v>17.82</v>
      </c>
      <c r="C244" s="4" t="n">
        <f aca="false">'Encoded Data'!E244</f>
        <v>2</v>
      </c>
      <c r="D244" s="4" t="n">
        <f aca="false">'Encoded Data'!A244</f>
        <v>1</v>
      </c>
      <c r="E244" s="4" t="n">
        <f aca="false">'Encoded Data'!B244</f>
        <v>0</v>
      </c>
      <c r="F244" s="4" t="n">
        <f aca="false">'Encoded Data'!C244</f>
        <v>3</v>
      </c>
      <c r="G244" s="4" t="n">
        <f aca="false">'Encoded Data'!D244</f>
        <v>1</v>
      </c>
      <c r="H244" s="10" t="n">
        <f aca="false">'Encoded Data'!G244</f>
        <v>1.75</v>
      </c>
      <c r="I244" s="10" t="n">
        <f aca="false">0.675081+0.094264*B244+0.174964*C244+-0.036633*D244+-0.072844*E244+0.053005*F244+-0.116006*G244</f>
        <v>2.71116948</v>
      </c>
      <c r="J244" s="10" t="n">
        <f aca="false">H244-I244</f>
        <v>-0.96116948</v>
      </c>
    </row>
    <row r="245" customFormat="false" ht="15" hidden="false" customHeight="false" outlineLevel="0" collapsed="false">
      <c r="A245" s="3" t="n">
        <v>243</v>
      </c>
      <c r="B245" s="3" t="n">
        <f aca="false">'Encoded Data'!F245</f>
        <v>18.78</v>
      </c>
      <c r="C245" s="3" t="n">
        <f aca="false">'Encoded Data'!E245</f>
        <v>2</v>
      </c>
      <c r="D245" s="3" t="n">
        <f aca="false">'Encoded Data'!A245</f>
        <v>0</v>
      </c>
      <c r="E245" s="3" t="n">
        <f aca="false">'Encoded Data'!B245</f>
        <v>0</v>
      </c>
      <c r="F245" s="3" t="n">
        <f aca="false">'Encoded Data'!C245</f>
        <v>1</v>
      </c>
      <c r="G245" s="3" t="n">
        <f aca="false">'Encoded Data'!D245</f>
        <v>1</v>
      </c>
      <c r="H245" s="8" t="n">
        <f aca="false">'Encoded Data'!G245</f>
        <v>3</v>
      </c>
      <c r="I245" s="8" t="n">
        <f aca="false">0.675081+0.094264*B245+0.174964*C245+-0.036633*D245+-0.072844*E245+0.053005*F245+-0.116006*G245</f>
        <v>2.73228592</v>
      </c>
      <c r="J245" s="8" t="n">
        <f aca="false">H245-I245</f>
        <v>0.267714079999999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2026-03-07T04:36:29Z</dcterms:created>
  <dc:creator>openpyxl</dc:creator>
  <dc:description/>
  <dc:language>en-US</dc:language>
  <cp:lastModifiedBy/>
  <dcterms:modified xsi:type="dcterms:W3CDTF">2026-03-07T04:36:37Z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